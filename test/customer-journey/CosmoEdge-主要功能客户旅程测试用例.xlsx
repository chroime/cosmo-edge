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245a1233b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总览" sheetId="1" r:id="R50abca8c7092439a"/>
    <x:sheet xmlns:r="http://schemas.openxmlformats.org/officeDocument/2006/relationships" name="主要用例" sheetId="2" r:id="R56cf9666b22348bd"/>
    <x:sheet xmlns:r="http://schemas.openxmlformats.org/officeDocument/2006/relationships" name="步骤与验收" sheetId="3" r:id="R0820840be99b4cc2"/>
    <x:sheet xmlns:r="http://schemas.openxmlformats.org/officeDocument/2006/relationships" name="按需补测" sheetId="4" r:id="Ra60342abbb694fb4"/>
    <x:sheet xmlns:r="http://schemas.openxmlformats.org/officeDocument/2006/relationships" name="范围与评审" sheetId="5" r:id="Rce831478a36b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0334B"/>
      <x:name val="Microsoft YaHei"/>
    </x:font>
    <x:font>
      <x:b/>
      <x:sz val="11"/>
      <x:color rgb="FFFFFFFF"/>
      <x:name val="Microsoft YaHei"/>
    </x:font>
    <x:font>
      <x:b/>
      <x:sz val="16"/>
      <x:color rgb="FF28456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84568"/>
      </x:patternFill>
    </x:fill>
    <x:fill>
      <x:patternFill patternType="solid">
        <x:fgColor rgb="FFF1F5F9"/>
      </x:patternFill>
    </x:fill>
    <x:fill>
      <x:patternFill patternType="solid">
        <x:fgColor rgb="FFFFF3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AAAB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3" fillId="0" borderId="1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3">
    <x:dxf>
      <x:font>
        <x:b/>
        <x:color rgb="FF9A3412"/>
      </x:font>
      <x:fill>
        <x:patternFill patternType="solid">
          <x:bgColor rgb="FFFCE4E4"/>
        </x:patternFill>
      </x:fill>
    </x:dxf>
    <x:dxf>
      <x:font>
        <x:b/>
        <x:color rgb="FF9A3412"/>
      </x:font>
      <x:fill>
        <x:patternFill patternType="solid">
          <x:bgColor rgb="FFFFF0D5"/>
        </x:patternFill>
      </x:fill>
    </x:dxf>
    <x:dxf>
      <x:font>
        <x:b/>
        <x:color rgb="FF9A3412"/>
      </x:font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b3b518e6e426d" /><Relationship Type="http://schemas.openxmlformats.org/officeDocument/2006/relationships/theme" Target="/xl/theme/theme1.xml" Id="R1f45b599b5574855" /><Relationship Type="http://schemas.openxmlformats.org/officeDocument/2006/relationships/sharedStrings" Target="/xl/sharedStrings.xml" Id="R5cc58a8ec9134325" /><Relationship Type="http://schemas.openxmlformats.org/officeDocument/2006/relationships/worksheet" Target="/xl/worksheets/sheet1.xml" Id="R50abca8c7092439a" /><Relationship Type="http://schemas.openxmlformats.org/officeDocument/2006/relationships/worksheet" Target="/xl/worksheets/sheet2.xml" Id="R56cf9666b22348bd" /><Relationship Type="http://schemas.openxmlformats.org/officeDocument/2006/relationships/worksheet" Target="/xl/worksheets/sheet3.xml" Id="R0820840be99b4cc2" /><Relationship Type="http://schemas.openxmlformats.org/officeDocument/2006/relationships/worksheet" Target="/xl/worksheets/sheet4.xml" Id="Ra60342abbb694fb4" /><Relationship Type="http://schemas.openxmlformats.org/officeDocument/2006/relationships/worksheet" Target="/xl/worksheets/sheet5.xml" Id="Rce831478a36b44a3" /></Relationships>
</file>

<file path=xl/tables/table1.xml><?xml version="1.0" encoding="utf-8"?>
<x:table xmlns:x="http://schemas.openxmlformats.org/spreadsheetml/2006/main" id="1" name="QuickCases" displayName="QuickCases" ref="A4:L32" headerRowCount="1" totalsRowCount="0" totalsRowShown="0">
  <x:autoFilter ref="A4:L32"/>
  <x:tableColumns count="12">
    <x:tableColumn id="1" name="编号"/>
    <x:tableColumn id="2" name="模块"/>
    <x:tableColumn id="3" name="主要功能旅程"/>
    <x:tableColumn id="4" name="抽样与前置条件"/>
    <x:tableColumn id="5" name="资源编号"/>
    <x:tableColumn id="6" name="预计下限&#10;分钟"/>
    <x:tableColumn id="7" name="预计上限&#10;分钟"/>
    <x:tableColumn id="8" name="清理与依赖"/>
    <x:tableColumn id="9" name="全量库来源&#10;仅部分覆盖"/>
    <x:tableColumn id="10" name="执行状态"/>
    <x:tableColumn id="11" name="未通过原因/证据"/>
    <x:tableColumn id="12" name="评审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ickSteps" displayName="QuickSteps" ref="A4:I99" headerRowCount="1" totalsRowCount="0" totalsRowShown="0">
  <x:autoFilter ref="A4:I99"/>
  <x:tableColumns count="9">
    <x:tableColumn id="1" name="用例编号"/>
    <x:tableColumn id="2" name="步骤编号"/>
    <x:tableColumn id="3" name="操作"/>
    <x:tableColumn id="4" name="可判定预期"/>
    <x:tableColumn id="5" name="最小证据要求"/>
    <x:tableColumn id="6" name="实际结果"/>
    <x:tableColumn id="7" name="步骤状态"/>
    <x:tableColumn id="8" name="未通过原因/下一步"/>
    <x:tableColumn id="9" name="证据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onalCases" displayName="OptionalCases" ref="A4:I10" headerRowCount="1" totalsRowCount="0" totalsRowShown="0">
  <x:autoFilter ref="A4:I10"/>
  <x:tableColumns count="9">
    <x:tableColumn id="1" name="编号"/>
    <x:tableColumn id="2" name="补测项目"/>
    <x:tableColumn id="3" name="何时触发"/>
    <x:tableColumn id="4" name="下限&#10;分钟"/>
    <x:tableColumn id="5" name="上限&#10;分钟"/>
    <x:tableColumn id="6" name="操作摘要"/>
    <x:tableColumn id="7" name="通过条件"/>
    <x:tableColumn id="8" name="来源用例"/>
    <x:tableColumn id="9" name="范围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Scope" displayName="ReviewScope" ref="A4:C26" headerRowCount="1" totalsRowCount="0" totalsRowShown="0">
  <x:autoFilter ref="A4:C26"/>
  <x:tableColumns count="3">
    <x:tableColumn id="1" name="主题"/>
    <x:tableColumn id="2" name="范围与执行约定"/>
    <x:tableColumn id="3" name="评审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1452dbcac242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b7724b3fd145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34ebdf0ecb49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a6607c72a14748" /></Relationships>
</file>

<file path=xl/worksheets/sheet1.xml><?xml version="1.0" encoding="utf-8"?>
<x:worksheet xmlns:x="http://schemas.openxmlformats.org/spreadsheetml/2006/main">
  <x:sheetPr>
    <x:tabColor rgb="FF284568"/>
  </x:sheetPr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5" hidden="0" customWidth="1"/>
    <x:col min="4" max="4" width="16" hidden="0" customWidth="1"/>
    <x:col min="5" max="5" width="5" hidden="0" customWidth="1"/>
    <x:col min="6" max="6" width="68" hidden="0" customWidth="1"/>
  </x:cols>
  <x:sheetData>
    <x:row r="1">
      <x:c r="A1" s="3"/>
      <x:c r="B1" s="3"/>
      <x:c r="C1" s="3"/>
      <x:c r="D1" s="3"/>
      <x:c r="E1" s="3"/>
      <x:c r="F1" s="3"/>
    </x:row>
    <x:row r="2" ht="28" customHeight="1">
      <x:c r="A2" s="11" t="str">
        <x:v>CosmoEdge 主要功能客户旅程测试</x:v>
      </x:c>
      <x:c r="B2" s="12"/>
      <x:c r="C2" s="12"/>
      <x:c r="D2" s="12"/>
      <x:c r="E2" s="12"/>
      <x:c r="F2" s="12"/>
    </x:row>
    <x:row r="3">
      <x:c r="A3" s="16" t="str">
        <x:v>v0.5 已确认快测用例 · 2026-10-14 · 尚未执行设备测试</x:v>
      </x:c>
      <x:c r="B3" s="3"/>
      <x:c r="C3" s="3"/>
      <x:c r="D3" s="3"/>
      <x:c r="E3" s="3"/>
      <x:c r="F3" s="3"/>
    </x:row>
    <x:row r="4">
      <x:c r="A4" s="3"/>
      <x:c r="B4" s="3"/>
      <x:c r="C4" s="3"/>
      <x:c r="D4" s="3"/>
      <x:c r="E4" s="3"/>
      <x:c r="F4" s="3"/>
    </x:row>
    <x:row r="5" ht="30" customHeight="1">
      <x:c r="A5" s="3" t="str">
        <x:v>核心用例数</x:v>
      </x:c>
      <x:c r="B5" s="3" t="n">
        <x:f>COUNTA('主要用例'!A5:A32)</x:f>
        <x:v>28</x:v>
      </x:c>
      <x:c r="C5" s="3"/>
      <x:c r="D5" s="3" t="str">
        <x:v>通过</x:v>
      </x:c>
      <x:c r="E5" s="3" t="n">
        <x:f>COUNTIFS('主要用例'!J5:J32,"通过")</x:f>
        <x:v>0</x:v>
      </x:c>
      <x:c r="F5" s="15" t="str">
        <x:v>设备版本：待执行时填写</x:v>
      </x:c>
    </x:row>
    <x:row r="6" ht="30" customHeight="1">
      <x:c r="A6" s="3" t="str">
        <x:v>逐步验收数</x:v>
      </x:c>
      <x:c r="B6" s="3" t="n">
        <x:v>95</x:v>
      </x:c>
      <x:c r="C6" s="3"/>
      <x:c r="D6" s="3" t="str">
        <x:v>失败</x:v>
      </x:c>
      <x:c r="E6" s="3" t="n">
        <x:f>COUNTIFS('主要用例'!J5:J32,"失败")</x:f>
        <x:v>0</x:v>
      </x:c>
      <x:c r="F6" s="15" t="str">
        <x:v>本轮标识：待执行时填写</x:v>
      </x:c>
    </x:row>
    <x:row r="7" ht="30" customHeight="1">
      <x:c r="A7" s="3" t="str">
        <x:v>预计正常下限（分钟）</x:v>
      </x:c>
      <x:c r="B7" s="3" t="n">
        <x:f>SUM('主要用例'!F5:F32)</x:f>
        <x:v>141</x:v>
      </x:c>
      <x:c r="C7" s="3"/>
      <x:c r="D7" s="3" t="str">
        <x:v>阻塞</x:v>
      </x:c>
      <x:c r="E7" s="3" t="n">
        <x:f>COUNTIFS('主要用例'!J5:J32,"阻塞")</x:f>
        <x:v>0</x:v>
      </x:c>
      <x:c r="F7" s="3" t="str">
        <x:v>浅黄色区域用于填写评审意见或执行结果。</x:v>
      </x:c>
    </x:row>
    <x:row r="8" ht="30" customHeight="1">
      <x:c r="A8" s="3" t="str">
        <x:v>预计正常上限（分钟）</x:v>
      </x:c>
      <x:c r="B8" s="3" t="n">
        <x:f>SUM('主要用例'!G5:G32)</x:f>
        <x:v>232</x:v>
      </x:c>
      <x:c r="C8" s="3"/>
      <x:c r="D8" s="3" t="str">
        <x:v>部分完成</x:v>
      </x:c>
      <x:c r="E8" s="3" t="n">
        <x:f>COUNTIFS('主要用例'!J5:J32,"部分完成")</x:f>
        <x:v>0</x:v>
      </x:c>
      <x:c r="F8" s="3" t="str">
        <x:v>估算不含首次配置和排障，具体范围见“范围与评审”。</x:v>
      </x:c>
    </x:row>
    <x:row r="9" ht="30" customHeight="1">
      <x:c r="A9" s="3" t="str">
        <x:v>按需补测数</x:v>
      </x:c>
      <x:c r="B9" s="3" t="n">
        <x:v>6</x:v>
      </x:c>
      <x:c r="C9" s="3"/>
      <x:c r="D9" s="3" t="str">
        <x:v>未执行</x:v>
      </x:c>
      <x:c r="E9" s="3" t="n">
        <x:f>COUNTIFS('主要用例'!J5:J32,"未执行")</x:f>
        <x:v>28</x:v>
      </x:c>
      <x:c r="F9" s="3"/>
    </x:row>
    <x:row r="10" ht="30" customHeight="1">
      <x:c r="A10" s="3"/>
      <x:c r="B10" s="3"/>
      <x:c r="C10" s="3"/>
      <x:c r="D10" s="3" t="str">
        <x:v>不适用</x:v>
      </x:c>
      <x:c r="E10" s="3" t="n">
        <x:f>COUNTIFS('主要用例'!J5:J32,"不适用")</x:f>
        <x:v>0</x:v>
      </x:c>
      <x:c r="F10" s="3"/>
    </x:row>
    <x:row r="11" ht="30" customHeight="1">
      <x:c r="A11" s="5" t="str">
        <x:v>模块</x:v>
      </x:c>
      <x:c r="B11" s="5" t="str">
        <x:v>核心数量</x:v>
      </x:c>
      <x:c r="C11" s="5" t="str">
        <x:v>下限/分钟</x:v>
      </x:c>
      <x:c r="D11" s="5" t="str">
        <x:v>上限/分钟</x:v>
      </x:c>
      <x:c r="E11" s="3" t="str"/>
      <x:c r="F11" s="3" t="str">
        <x:v>取样规则</x:v>
      </x:c>
    </x:row>
    <x:row r="12" ht="38" customHeight="1">
      <x:c r="A12" s="3" t="str">
        <x:v>准备与登录</x:v>
      </x:c>
      <x:c r="B12" s="3" t="n">
        <x:f>COUNTIFS('主要用例'!B5:B32,A12)</x:f>
        <x:v>1</x:v>
      </x:c>
      <x:c r="C12" s="3" t="n">
        <x:f>SUMIFS('主要用例'!F5:F32,'主要用例'!B5:B32,A12)</x:f>
        <x:v>3</x:v>
      </x:c>
      <x:c r="D12" s="3" t="n">
        <x:f>SUMIFS('主要用例'!G5:G32,'主要用例'!B5:B32,A12)</x:f>
        <x:v>5</x:v>
      </x:c>
      <x:c r="E12" s="3"/>
      <x:c r="F12" s="3" t="str">
        <x:v>检查本轮资源、登录和既有业务基线。</x:v>
      </x:c>
    </x:row>
    <x:row r="13" ht="38" customHeight="1">
      <x:c r="A13" s="3" t="str">
        <x:v>模型与场景</x:v>
      </x:c>
      <x:c r="B13" s="3" t="n">
        <x:f>COUNTIFS('主要用例'!B5:B32,A13)</x:f>
        <x:v>2</x:v>
      </x:c>
      <x:c r="C13" s="3" t="n">
        <x:f>SUMIFS('主要用例'!F5:F32,'主要用例'!B5:B32,A13)</x:f>
        <x:v>11</x:v>
      </x:c>
      <x:c r="D13" s="3" t="n">
        <x:f>SUMIFS('主要用例'!G5:G32,'主要用例'!B5:B32,A13)</x:f>
        <x:v>18</x:v>
      </x:c>
      <x:c r="E13" s="3"/>
      <x:c r="F13" s="3" t="str">
        <x:v>1个小模型；视频/图片各1个场景。</x:v>
      </x:c>
    </x:row>
    <x:row r="14" ht="38" customHeight="1">
      <x:c r="A14" s="3" t="str">
        <x:v>视频接入</x:v>
      </x:c>
      <x:c r="B14" s="3" t="n">
        <x:f>COUNTIFS('主要用例'!B5:B32,A14)</x:f>
        <x:v>6</x:v>
      </x:c>
      <x:c r="C14" s="3" t="n">
        <x:f>SUMIFS('主要用例'!F5:F32,'主要用例'!B5:B32,A14)</x:f>
        <x:v>29</x:v>
      </x:c>
      <x:c r="D14" s="3" t="n">
        <x:f>SUMIFS('主要用例'!G5:G32,'主要用例'!B5:B32,A14)</x:f>
        <x:v>46</x:v>
      </x:c>
      <x:c r="E14" s="3"/>
      <x:c r="F14" s="3" t="str">
        <x:v>RTSP含IPC/NVR；ONVIF两种入口；国标IPC/NVR；本地视频；USB摄像头。</x:v>
      </x:c>
    </x:row>
    <x:row r="15" ht="38" customHeight="1">
      <x:c r="A15" s="3" t="str">
        <x:v>任务与规则</x:v>
      </x:c>
      <x:c r="B15" s="3" t="n">
        <x:f>COUNTIFS('主要用例'!B5:B32,A15)</x:f>
        <x:v>2</x:v>
      </x:c>
      <x:c r="C15" s="3" t="n">
        <x:f>SUMIFS('主要用例'!F5:F32,'主要用例'!B5:B32,A15)</x:f>
        <x:v>10</x:v>
      </x:c>
      <x:c r="D15" s="3" t="n">
        <x:f>SUMIFS('主要用例'!G5:G32,'主要用例'!B5:B32,A15)</x:f>
        <x:v>16</x:v>
      </x:c>
      <x:c r="E15" s="3"/>
      <x:c r="F15" s="3" t="str">
        <x:v>1个独立任务；1个阈值/区域/时间计划。</x:v>
      </x:c>
    </x:row>
    <x:row r="16" ht="38" customHeight="1">
      <x:c r="A16" s="3" t="str">
        <x:v>底库与识别</x:v>
      </x:c>
      <x:c r="B16" s="3" t="n">
        <x:f>COUNTIFS('主要用例'!B5:B32,A16)</x:f>
        <x:v>3</x:v>
      </x:c>
      <x:c r="C16" s="3" t="n">
        <x:f>SUMIFS('主要用例'!F5:F32,'主要用例'!B5:B32,A16)</x:f>
        <x:v>16</x:v>
      </x:c>
      <x:c r="D16" s="3" t="n">
        <x:f>SUMIFS('主要用例'!G5:G32,'主要用例'!B5:B32,A16)</x:f>
        <x:v>26</x:v>
      </x:c>
      <x:c r="E16" s="3"/>
      <x:c r="F16" s="3" t="str">
        <x:v>3–5张人脸照片；1张工服图；各跑一段视频。</x:v>
      </x:c>
    </x:row>
    <x:row r="17" ht="38" customHeight="1">
      <x:c r="A17" s="3" t="str">
        <x:v>图片分析</x:v>
      </x:c>
      <x:c r="B17" s="3" t="n">
        <x:f>COUNTIFS('主要用例'!B5:B32,A17)</x:f>
        <x:v>3</x:v>
      </x:c>
      <x:c r="C17" s="3" t="n">
        <x:f>SUMIFS('主要用例'!F5:F32,'主要用例'!B5:B32,A17)</x:f>
        <x:v>13</x:v>
      </x:c>
      <x:c r="D17" s="3" t="n">
        <x:f>SUMIFS('主要用例'!G5:G32,'主要用例'!B5:B32,A17)</x:f>
        <x:v>21</x:v>
      </x:c>
      <x:c r="E17" s="3"/>
      <x:c r="F17" s="3" t="str">
        <x:v>2张普通图片；两类底库比对；两类双图比对。</x:v>
      </x:c>
    </x:row>
    <x:row r="18" ht="38" customHeight="1">
      <x:c r="A18" s="3" t="str">
        <x:v>大模型算法</x:v>
      </x:c>
      <x:c r="B18" s="3" t="n">
        <x:f>COUNTIFS('主要用例'!B5:B32,A18)</x:f>
        <x:v>2</x:v>
      </x:c>
      <x:c r="C18" s="3" t="n">
        <x:f>SUMIFS('主要用例'!F5:F32,'主要用例'!B5:B32,A18)</x:f>
        <x:v>22</x:v>
      </x:c>
      <x:c r="D18" s="3" t="n">
        <x:f>SUMIFS('主要用例'!G5:G32,'主要用例'!B5:B32,A18)</x:f>
        <x:v>40</x:v>
      </x:c>
      <x:c r="E18" s="3"/>
      <x:c r="F18" s="3" t="str">
        <x:v>VLM 是/否判断与 DINO 目标框；固定图片和短视频各跑一次。</x:v>
      </x:c>
    </x:row>
    <x:row r="19" ht="38" customHeight="1">
      <x:c r="A19" s="3" t="str">
        <x:v>事件与展示</x:v>
      </x:c>
      <x:c r="B19" s="3" t="n">
        <x:f>COUNTIFS('主要用例'!B5:B32,A19)</x:f>
        <x:v>3</x:v>
      </x:c>
      <x:c r="C19" s="3" t="n">
        <x:f>SUMIFS('主要用例'!F5:F32,'主要用例'!B5:B32,A19)</x:f>
        <x:v>13</x:v>
      </x:c>
      <x:c r="D19" s="3" t="n">
        <x:f>SUMIFS('主要用例'!G5:G32,'主要用例'!B5:B32,A19)</x:f>
        <x:v>22</x:v>
      </x:c>
      <x:c r="E19" s="3"/>
      <x:c r="F19" s="3" t="str">
        <x:v>单/四窗预览与叠加；新告警详情；首页统计核对。</x:v>
      </x:c>
    </x:row>
    <x:row r="20" ht="38" customHeight="1">
      <x:c r="A20" s="3" t="str">
        <x:v>数据对接</x:v>
      </x:c>
      <x:c r="B20" s="3" t="n">
        <x:f>COUNTIFS('主要用例'!B5:B32,A20)</x:f>
        <x:v>2</x:v>
      </x:c>
      <x:c r="C20" s="3" t="n">
        <x:f>SUMIFS('主要用例'!F5:F32,'主要用例'!B5:B32,A20)</x:f>
        <x:v>10</x:v>
      </x:c>
      <x:c r="D20" s="3" t="n">
        <x:f>SUMIFS('主要用例'!G5:G32,'主要用例'!B5:B32,A20)</x:f>
        <x:v>16</x:v>
      </x:c>
      <x:c r="E20" s="3"/>
      <x:c r="F20" s="3" t="str">
        <x:v>HTTP/MQTT各核对1条新告警；MQTT加只读响应。</x:v>
      </x:c>
    </x:row>
    <x:row r="21" ht="38" customHeight="1">
      <x:c r="A21" s="3" t="str">
        <x:v>系统管理</x:v>
      </x:c>
      <x:c r="B21" s="3" t="n">
        <x:f>COUNTIFS('主要用例'!B5:B32,A21)</x:f>
        <x:v>2</x:v>
      </x:c>
      <x:c r="C21" s="3" t="n">
        <x:f>SUMIFS('主要用例'!F5:F32,'主要用例'!B5:B32,A21)</x:f>
        <x:v>7</x:v>
      </x:c>
      <x:c r="D21" s="3" t="n">
        <x:f>SUMIFS('主要用例'!G5:G32,'主要用例'!B5:B32,A21)</x:f>
        <x:v>11</x:v>
      </x:c>
      <x:c r="E21" s="3"/>
      <x:c r="F21" s="3" t="str">
        <x:v>1项名称和1项媒体设置；日志下载；网络只读。</x:v>
      </x:c>
    </x:row>
    <x:row r="22" ht="38" customHeight="1">
      <x:c r="A22" s="3" t="str">
        <x:v>必要补充</x:v>
      </x:c>
      <x:c r="B22" s="3" t="n">
        <x:f>COUNTIFS('主要用例'!B5:B32,A22)</x:f>
        <x:v>1</x:v>
      </x:c>
      <x:c r="C22" s="3" t="n">
        <x:f>SUMIFS('主要用例'!F5:F32,'主要用例'!B5:B32,A22)</x:f>
        <x:v>3</x:v>
      </x:c>
      <x:c r="D22" s="3" t="n">
        <x:f>SUMIFS('主要用例'!G5:G32,'主要用例'!B5:B32,A22)</x:f>
        <x:v>5</x:v>
      </x:c>
      <x:c r="E22" s="3"/>
      <x:c r="F22" s="3" t="str">
        <x:v>无效地址、空必填字段以及更正后的恢复。</x:v>
      </x:c>
    </x:row>
    <x:row r="23" ht="38" customHeight="1">
      <x:c r="A23" s="3" t="str">
        <x:v>收尾交付</x:v>
      </x:c>
      <x:c r="B23" s="3" t="n">
        <x:f>COUNTIFS('主要用例'!B5:B32,A23)</x:f>
        <x:v>1</x:v>
      </x:c>
      <x:c r="C23" s="3" t="n">
        <x:f>SUMIFS('主要用例'!F5:F32,'主要用例'!B5:B32,A23)</x:f>
        <x:v>4</x:v>
      </x:c>
      <x:c r="D23" s="3" t="n">
        <x:f>SUMIFS('主要用例'!G5:G32,'主要用例'!B5:B32,A23)</x:f>
        <x:v>6</x:v>
      </x:c>
      <x:c r="E23" s="3"/>
      <x:c r="F23" s="3" t="str">
        <x:v>解除引用后清理，回填延期删除结果。</x:v>
      </x:c>
    </x:row>
    <x:row r="24">
      <x:c r="A24" s="3"/>
      <x:c r="B24" s="3"/>
      <x:c r="C24" s="3"/>
      <x:c r="D24" s="3"/>
      <x:c r="E24" s="3"/>
      <x:c r="F2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60" hidden="0" customWidth="1"/>
    <x:col min="5" max="5" width="35" hidden="0" customWidth="1"/>
    <x:col min="6" max="6" width="12" hidden="0" customWidth="1"/>
    <x:col min="7" max="7" width="12" hidden="0" customWidth="1"/>
    <x:col min="8" max="8" width="56" hidden="0" customWidth="1"/>
    <x:col min="9" max="9" width="40" hidden="0" customWidth="1"/>
    <x:col min="10" max="10" width="16" hidden="0" customWidth="1"/>
    <x:col min="11" max="11" width="52" hidden="0" customWidth="1"/>
    <x:col min="12" max="12" width="4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11" t="str">
        <x:v>CosmoEdge 主要功能快速测试用例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4" customHeight="1">
      <x:c r="A4" s="7" t="str">
        <x:v>编号</x:v>
      </x:c>
      <x:c r="B4" s="7" t="str">
        <x:v>模块</x:v>
      </x:c>
      <x:c r="C4" s="7" t="str">
        <x:v>主要功能旅程</x:v>
      </x:c>
      <x:c r="D4" s="7" t="str">
        <x:v>抽样与前置条件</x:v>
      </x:c>
      <x:c r="E4" s="7" t="str">
        <x:v>资源编号</x:v>
      </x:c>
      <x:c r="F4" s="7" t="str">
        <x:v>预计下限
分钟</x:v>
      </x:c>
      <x:c r="G4" s="7" t="str">
        <x:v>预计上限
分钟</x:v>
      </x:c>
      <x:c r="H4" s="7" t="str">
        <x:v>清理与依赖</x:v>
      </x:c>
      <x:c r="I4" s="7" t="str">
        <x:v>全量库来源
仅部分覆盖</x:v>
      </x:c>
      <x:c r="J4" s="7" t="str">
        <x:v>执行状态</x:v>
      </x:c>
      <x:c r="K4" s="7" t="str">
        <x:v>未通过原因/证据</x:v>
      </x:c>
      <x:c r="L4" s="7" t="str">
        <x:v>评审意见</x:v>
      </x:c>
    </x:row>
    <x:row r="5" ht="44" customHeight="1">
      <x:c r="A5" s="3" t="str">
        <x:v>Q01</x:v>
      </x:c>
      <x:c r="B5" s="3" t="str">
        <x:v>准备与登录</x:v>
      </x:c>
      <x:c r="C5" s="3" t="str">
        <x:v>资源预检、登录及首页基线</x:v>
      </x:c>
      <x:c r="D5" s="3" t="str">
        <x:v>本轮目标已明确；资源包已配置；不沿用上轮登录态。</x:v>
      </x:c>
      <x:c r="E5" s="3" t="str">
        <x:v>DUT;MODEL-INVENTORY</x:v>
      </x:c>
      <x:c r="F5" s="13" t="n">
        <x:v>3</x:v>
      </x:c>
      <x:c r="G5" s="13" t="n">
        <x:v>5</x:v>
      </x:c>
      <x:c r="H5" s="3" t="str">
        <x:v>只读记录基线；最后在 Q24 退出登录。</x:v>
      </x:c>
      <x:c r="I5" s="3" t="str">
        <x:v>ENV-001;ENV-007;AUTH-001;AUTH-002;HOME-001</x:v>
      </x:c>
      <x:c r="J5" s="15" t="str">
        <x:v>未执行</x:v>
      </x:c>
      <x:c r="K5" s="15" t="str"/>
      <x:c r="L5" s="15" t="str"/>
    </x:row>
    <x:row r="6" ht="44" customHeight="1">
      <x:c r="A6" s="8" t="str">
        <x:v>Q02</x:v>
      </x:c>
      <x:c r="B6" s="8" t="str">
        <x:v>模型与场景</x:v>
      </x:c>
      <x:c r="C6" s="8" t="str">
        <x:v>模型新增、查询、修改、导出及删除</x:v>
      </x:c>
      <x:c r="D6" s="8" t="str">
        <x:v>选择兼容、未安装且可删除的小模型包；优先不超过100MB。不能覆盖在用或预置模型。</x:v>
      </x:c>
      <x:c r="E6" s="8" t="str">
        <x:v>DUT;MODEL-PACKAGES</x:v>
      </x:c>
      <x:c r="F6" s="14" t="n">
        <x:v>6</x:v>
      </x:c>
      <x:c r="G6" s="14" t="n">
        <x:v>10</x:v>
      </x:c>
      <x:c r="H6" s="8" t="str">
        <x:v>删除临时调用场景后删除该模型；保持原模型不变。</x:v>
      </x:c>
      <x:c r="I6" s="8" t="str">
        <x:v>MODEL-001;MODEL-002;MODEL-003;MODEL-007;MODEL-008;MODEL-012;MODEL-014</x:v>
      </x:c>
      <x:c r="J6" s="15" t="str">
        <x:v>未执行</x:v>
      </x:c>
      <x:c r="K6" s="15" t="str"/>
      <x:c r="L6" s="15" t="str"/>
    </x:row>
    <x:row r="7" ht="61" customHeight="1">
      <x:c r="A7" s="3" t="str">
        <x:v>Q03</x:v>
      </x:c>
      <x:c r="B7" s="3" t="str">
        <x:v>模型与场景</x:v>
      </x:c>
      <x:c r="C7" s="3" t="str">
        <x:v>场景创建、编排、查询、修改和删除</x:v>
      </x:c>
      <x:c r="D7" s="3" t="str">
        <x:v>使用已就绪基础检测模型。建立1个视频场景与1个图片场景；后续用例复用。</x:v>
      </x:c>
      <x:c r="E7" s="3" t="str">
        <x:v>DUT;MODEL-INVENTORY</x:v>
      </x:c>
      <x:c r="F7" s="13" t="n">
        <x:v>5</x:v>
      </x:c>
      <x:c r="G7" s="13" t="n">
        <x:v>8</x:v>
      </x:c>
      <x:c r="H7" s="3" t="str">
        <x:v>Q24 删除临时场景并回填本例删除结果；此前不得记为完整通过。</x:v>
      </x:c>
      <x:c r="I7" s="3" t="str">
        <x:v>SCENE-001;SCENE-002;SCENE-003;SCENE-007;SCENE-009;FLOW-001;FLOW-002;SCENE-010</x:v>
      </x:c>
      <x:c r="J7" s="15" t="str">
        <x:v>未执行</x:v>
      </x:c>
      <x:c r="K7" s="15" t="str"/>
      <x:c r="L7" s="15" t="str"/>
    </x:row>
    <x:row r="8" ht="44" customHeight="1">
      <x:c r="A8" s="8" t="str">
        <x:v>Q04</x:v>
      </x:c>
      <x:c r="B8" s="8" t="str">
        <x:v>视频接入</x:v>
      </x:c>
      <x:c r="C8" s="8" t="str">
        <x:v>RTSP 摄像机与 NVR 取流跑算法</x:v>
      </x:c>
      <x:c r="D8" s="8" t="str">
        <x:v>摄像机1路、NVR子通道1路；使用同一基础检测场景，逐路串行。已有等价测试通道可复用。</x:v>
      </x:c>
      <x:c r="E8" s="8" t="str">
        <x:v>DUT;CAM-HK-A;NVR-A</x:v>
      </x:c>
      <x:c r="F8" s="14" t="n">
        <x:v>5</x:v>
      </x:c>
      <x:c r="G8" s="14" t="n">
        <x:v>8</x:v>
      </x:c>
      <x:c r="H8" s="8" t="str">
        <x:v>保留本轮通道供后续测试；Q24 停任务并删除。</x:v>
      </x:c>
      <x:c r="I8" s="8" t="str">
        <x:v>CAM-001;CAM-002;CAM-005;TASK-001;LIVE-001</x:v>
      </x:c>
      <x:c r="J8" s="15" t="str">
        <x:v>未执行</x:v>
      </x:c>
      <x:c r="K8" s="15" t="str"/>
      <x:c r="L8" s="15" t="str"/>
    </x:row>
    <x:row r="9" ht="44" customHeight="1">
      <x:c r="A9" s="3" t="str">
        <x:v>Q05</x:v>
      </x:c>
      <x:c r="B9" s="3" t="str">
        <x:v>视频接入</x:v>
      </x:c>
      <x:c r="C9" s="3" t="str">
        <x:v>ONVIF 自动发现及手动添加跑算法</x:v>
      </x:c>
      <x:c r="D9" s="3" t="str">
        <x:v>选1台已知可用ONVIF设备；自动和手动添加分别操作，可复用同一台设备。</x:v>
      </x:c>
      <x:c r="E9" s="3" t="str">
        <x:v>DUT;CAM-HK-A;CAM-DH;ONVIF-SETTINGS</x:v>
      </x:c>
      <x:c r="F9" s="13" t="n">
        <x:v>5</x:v>
      </x:c>
      <x:c r="G9" s="13" t="n">
        <x:v>8</x:v>
      </x:c>
      <x:c r="H9" s="3" t="str">
        <x:v>保留1路后续复用；重复临时通道随测删除，其余 Q24 清理。</x:v>
      </x:c>
      <x:c r="I9" s="3" t="str">
        <x:v>ONVIF-001;ONVIF-002;ONVIF-005;TASK-001</x:v>
      </x:c>
      <x:c r="J9" s="15" t="str">
        <x:v>未执行</x:v>
      </x:c>
      <x:c r="K9" s="15" t="str"/>
      <x:c r="L9" s="15" t="str"/>
    </x:row>
    <x:row r="10" ht="44" customHeight="1">
      <x:c r="A10" s="8" t="str">
        <x:v>Q06</x:v>
      </x:c>
      <x:c r="B10" s="8" t="str">
        <x:v>视频接入</x:v>
      </x:c>
      <x:c r="C10" s="8" t="str">
        <x:v>GB28181 IPC 注册、点播及算法</x:v>
      </x:c>
      <x:c r="D10" s="8" t="str">
        <x:v>1台已配置到本轮DUT的国标IPC；仅测当前正常SIP/媒体组合，不遍历TCP/UDP矩阵。</x:v>
      </x:c>
      <x:c r="E10" s="8" t="str">
        <x:v>DUT;CAM-HK-A;GB-SETTINGS</x:v>
      </x:c>
      <x:c r="F10" s="14" t="n">
        <x:v>5</x:v>
      </x:c>
      <x:c r="G10" s="14" t="n">
        <x:v>8</x:v>
      </x:c>
      <x:c r="H10" s="8" t="str">
        <x:v>不改摄像机永久注册参数；Q24 删除本轮业务通道和任务。</x:v>
      </x:c>
      <x:c r="I10" s="8" t="str">
        <x:v>GB-001;GB-002;GB-008;TASK-001</x:v>
      </x:c>
      <x:c r="J10" s="15" t="str">
        <x:v>未执行</x:v>
      </x:c>
      <x:c r="K10" s="15" t="str"/>
      <x:c r="L10" s="15" t="str"/>
    </x:row>
    <x:row r="11" ht="36" customHeight="1">
      <x:c r="A11" s="3" t="str">
        <x:v>Q07</x:v>
      </x:c>
      <x:c r="B11" s="3" t="str">
        <x:v>视频接入</x:v>
      </x:c>
      <x:c r="C11" s="3" t="str">
        <x:v>GB28181 NVR 两路独立算法</x:v>
      </x:c>
      <x:c r="D11" s="3" t="str">
        <x:v>NVR已注册到DUT；快测抽2个不同通道，不遍历全部4路。</x:v>
      </x:c>
      <x:c r="E11" s="3" t="str">
        <x:v>DUT;NVR-A;GB-SETTINGS</x:v>
      </x:c>
      <x:c r="F11" s="13" t="n">
        <x:v>5</x:v>
      </x:c>
      <x:c r="G11" s="13" t="n">
        <x:v>8</x:v>
      </x:c>
      <x:c r="H11" s="3" t="str">
        <x:v>停掉两路本轮任务；Q24 删除业务通道。</x:v>
      </x:c>
      <x:c r="I11" s="3" t="str">
        <x:v>GB-003;GB-008;CAM-002;EVENT-008</x:v>
      </x:c>
      <x:c r="J11" s="15" t="str">
        <x:v>未执行</x:v>
      </x:c>
      <x:c r="K11" s="15" t="str"/>
      <x:c r="L11" s="15" t="str"/>
    </x:row>
    <x:row r="12" ht="44" customHeight="1">
      <x:c r="A12" s="8" t="str">
        <x:v>Q08</x:v>
      </x:c>
      <x:c r="B12" s="8" t="str">
        <x:v>视频接入</x:v>
      </x:c>
      <x:c r="C12" s="8" t="str">
        <x:v>本地视频上传、循环和告警</x:v>
      </x:c>
      <x:c r="D12" s="8" t="str">
        <x:v>选30–60秒可解码行人片段，必要时由现有视频生成并保存哈希；使用已就绪检测/入侵场景。</x:v>
      </x:c>
      <x:c r="E12" s="8" t="str">
        <x:v>DUT;FACE-VIDEO;PEOPLE-MEDIA</x:v>
      </x:c>
      <x:c r="F12" s="14" t="n">
        <x:v>4</x:v>
      </x:c>
      <x:c r="G12" s="14" t="n">
        <x:v>6</x:v>
      </x:c>
      <x:c r="H12" s="8" t="str">
        <x:v>保留该可重复视频用于参数、事件和推送测试；Q24 清理。</x:v>
      </x:c>
      <x:c r="I12" s="8" t="str">
        <x:v>CAM-003;CAM-004;TASK-001;ALG-3</x:v>
      </x:c>
      <x:c r="J12" s="15" t="str">
        <x:v>未执行</x:v>
      </x:c>
      <x:c r="K12" s="15" t="str"/>
      <x:c r="L12" s="15" t="str"/>
    </x:row>
    <x:row r="13" ht="61" customHeight="1">
      <x:c r="A13" s="3" t="str">
        <x:v>Q25</x:v>
      </x:c>
      <x:c r="B13" s="3" t="str">
        <x:v>视频接入</x:v>
      </x:c>
      <x:c r="C13" s="3" t="str">
        <x:v>USB 摄像头发现、预览及运行算法</x:v>
      </x:c>
      <x:c r="D13" s="3" t="str">
        <x:v>用户将 USB 摄像头接入被测盒子；开测前确认设备已识别、产品支持该输入，并记录设备节点或唯一标识。使用已就绪基础检测场景。</x:v>
      </x:c>
      <x:c r="E13" s="3" t="str">
        <x:v>DUT;USB-CAMERA;MODEL-INVENTORY</x:v>
      </x:c>
      <x:c r="F13" s="13" t="n">
        <x:v>5</x:v>
      </x:c>
      <x:c r="G13" s="13" t="n">
        <x:v>8</x:v>
      </x:c>
      <x:c r="H13" s="3" t="str">
        <x:v>停止本轮 USB 任务，删除本轮通道；保留用户原有配置。</x:v>
      </x:c>
      <x:c r="I13" s="3" t="str">
        <x:v>CAM-010;TASK-001;LIVE-001</x:v>
      </x:c>
      <x:c r="J13" s="15" t="str">
        <x:v>未执行</x:v>
      </x:c>
      <x:c r="K13" s="15" t="str"/>
      <x:c r="L13" s="15" t="str"/>
    </x:row>
    <x:row r="14" ht="44" customHeight="1">
      <x:c r="A14" s="8" t="str">
        <x:v>Q09</x:v>
      </x:c>
      <x:c r="B14" s="8" t="str">
        <x:v>任务与规则</x:v>
      </x:c>
      <x:c r="C14" s="8" t="str">
        <x:v>任务增删改查与启停恢复</x:v>
      </x:c>
      <x:c r="D14" s="8" t="str">
        <x:v>复用已通的视频源；创建1个独立临时任务，不修改用户已有任务。</x:v>
      </x:c>
      <x:c r="E14" s="8" t="str">
        <x:v>DUT</x:v>
      </x:c>
      <x:c r="F14" s="14" t="n">
        <x:v>5</x:v>
      </x:c>
      <x:c r="G14" s="14" t="n">
        <x:v>8</x:v>
      </x:c>
      <x:c r="H14" s="8" t="str">
        <x:v>本例末尾删除该独立任务；保留其他快测任务。</x:v>
      </x:c>
      <x:c r="I14" s="8" t="str">
        <x:v>TASK-001;TASK-012;TASK-014;TASK-013</x:v>
      </x:c>
      <x:c r="J14" s="15" t="str">
        <x:v>未执行</x:v>
      </x:c>
      <x:c r="K14" s="15" t="str"/>
      <x:c r="L14" s="15" t="str"/>
    </x:row>
    <x:row r="15" ht="44" customHeight="1">
      <x:c r="A15" s="3" t="str">
        <x:v>Q10</x:v>
      </x:c>
      <x:c r="B15" s="3" t="str">
        <x:v>任务与规则</x:v>
      </x:c>
      <x:c r="C15" s="3" t="str">
        <x:v>区域、阈值与时间计划生效</x:v>
      </x:c>
      <x:c r="D15" s="3" t="str">
        <x:v>固定短视频及1个检测/区域入侵任务；取样1个阈值、1个ROI和1个计划，不遍历所有参数。</x:v>
      </x:c>
      <x:c r="E15" s="3" t="str">
        <x:v>DUT;PEOPLE-MEDIA</x:v>
      </x:c>
      <x:c r="F15" s="13" t="n">
        <x:v>5</x:v>
      </x:c>
      <x:c r="G15" s="13" t="n">
        <x:v>8</x:v>
      </x:c>
      <x:c r="H15" s="3" t="str">
        <x:v>恢复阈值和ROI；解绑并删除本轮时间计划。</x:v>
      </x:c>
      <x:c r="I15" s="3" t="str">
        <x:v>ROI-001;TASK-002;SCH-001;SCH-002;SCH-005;SCENE-009</x:v>
      </x:c>
      <x:c r="J15" s="15" t="str">
        <x:v>未执行</x:v>
      </x:c>
      <x:c r="K15" s="15" t="str"/>
      <x:c r="L15" s="15" t="str"/>
    </x:row>
    <x:row r="16" ht="44" customHeight="1">
      <x:c r="A16" s="8" t="str">
        <x:v>Q11</x:v>
      </x:c>
      <x:c r="B16" s="8" t="str">
        <x:v>底库与识别</x:v>
      </x:c>
      <x:c r="C16" s="8" t="str">
        <x:v>人脸底库及人员入库增删改查</x:v>
      </x:c>
      <x:c r="D16" s="8" t="str">
        <x:v>从已有照片ZIP抽3–5张合格照片构成小包；保留1张单图，不做全量人员导入。</x:v>
      </x:c>
      <x:c r="E16" s="8" t="str">
        <x:v>DUT;FACE-ZIP</x:v>
      </x:c>
      <x:c r="F16" s="14" t="n">
        <x:v>6</x:v>
      </x:c>
      <x:c r="G16" s="14" t="n">
        <x:v>10</x:v>
      </x:c>
      <x:c r="H16" s="8" t="str">
        <x:v>保留1组及2–3名人员供 Q12/Q15；Q24 删除并回填本例。</x:v>
      </x:c>
      <x:c r="I16" s="8" t="str">
        <x:v>FACE-001;FACE-002;FACE-003;FACE-012;FACE-015</x:v>
      </x:c>
      <x:c r="J16" s="15" t="str">
        <x:v>未执行</x:v>
      </x:c>
      <x:c r="K16" s="15" t="str"/>
      <x:c r="L16" s="15" t="str"/>
    </x:row>
    <x:row r="17" ht="44" customHeight="1">
      <x:c r="A17" s="3" t="str">
        <x:v>Q12</x:v>
      </x:c>
      <x:c r="B17" s="3" t="str">
        <x:v>底库与识别</x:v>
      </x:c>
      <x:c r="C17" s="3" t="str">
        <x:v>人脸视频识别功能返回</x:v>
      </x:c>
      <x:c r="D17" s="3" t="str">
        <x:v>Q11 底库就绪，复用本地视频通道。没有身份标注，只验收识别流程和返回语义。</x:v>
      </x:c>
      <x:c r="E17" s="3" t="str">
        <x:v>DUT;FACE-VIDEO</x:v>
      </x:c>
      <x:c r="F17" s="13" t="n">
        <x:v>4</x:v>
      </x:c>
      <x:c r="G17" s="13" t="n">
        <x:v>6</x:v>
      </x:c>
      <x:c r="H17" s="3" t="str">
        <x:v>恢复原底库绑定，停止本轮人脸任务。</x:v>
      </x:c>
      <x:c r="I17" s="3" t="str">
        <x:v>FACE-009;TASK-008;ALG-7602</x:v>
      </x:c>
      <x:c r="J17" s="15" t="str">
        <x:v>未执行</x:v>
      </x:c>
      <x:c r="K17" s="15" t="str"/>
      <x:c r="L17" s="15" t="str"/>
    </x:row>
    <x:row r="18" ht="44" customHeight="1">
      <x:c r="A18" s="8" t="str">
        <x:v>Q13</x:v>
      </x:c>
      <x:c r="B18" s="8" t="str">
        <x:v>底库与识别</x:v>
      </x:c>
      <x:c r="C18" s="8" t="str">
        <x:v>工服底库增删改查及视频算法</x:v>
      </x:c>
      <x:c r="D18" s="8" t="str">
        <x:v>使用已有工服图片和可解码行人片段；模型齐备；无标注不验收误报漏报率。</x:v>
      </x:c>
      <x:c r="E18" s="8" t="str">
        <x:v>DUT;UNIFORM-IMAGE;PEOPLE-MEDIA</x:v>
      </x:c>
      <x:c r="F18" s="14" t="n">
        <x:v>6</x:v>
      </x:c>
      <x:c r="G18" s="14" t="n">
        <x:v>10</x:v>
      </x:c>
      <x:c r="H18" s="8" t="str">
        <x:v>保留一个工服样本供 Q15/Q16；Q24 删除剩余样本/分组。</x:v>
      </x:c>
      <x:c r="I18" s="8" t="str">
        <x:v>UNIFORM-001;UNIFORM-002;UNIFORM-005;UNIFORM-008;UNIFORM-009</x:v>
      </x:c>
      <x:c r="J18" s="15" t="str">
        <x:v>未执行</x:v>
      </x:c>
      <x:c r="K18" s="15" t="str"/>
      <x:c r="L18" s="15" t="str"/>
    </x:row>
    <x:row r="19" ht="44" customHeight="1">
      <x:c r="A19" s="3" t="str">
        <x:v>Q14</x:v>
      </x:c>
      <x:c r="B19" s="3" t="str">
        <x:v>图片分析</x:v>
      </x:c>
      <x:c r="C19" s="3" t="str">
        <x:v>单图、批量图片和临时参数</x:v>
      </x:c>
      <x:c r="D19" s="3" t="str">
        <x:v>选2张可解码、目标清晰的图片；Q03 图片场景可用，或使用已存在的等价测试场景。</x:v>
      </x:c>
      <x:c r="E19" s="3" t="str">
        <x:v>DUT;IMAGE-MEDIA</x:v>
      </x:c>
      <x:c r="F19" s="13" t="n">
        <x:v>4</x:v>
      </x:c>
      <x:c r="G19" s="13" t="n">
        <x:v>6</x:v>
      </x:c>
      <x:c r="H19" s="3" t="str">
        <x:v>清空本轮图片及临时设置；任务按页面/接口生命周期释放。</x:v>
      </x:c>
      <x:c r="I19" s="3" t="str">
        <x:v>IMAGE-001;IMAGE-002;IMAGE-003;IMAGE-011;SCENE-010</x:v>
      </x:c>
      <x:c r="J19" s="15" t="str">
        <x:v>未执行</x:v>
      </x:c>
      <x:c r="K19" s="15" t="str"/>
      <x:c r="L19" s="15" t="str"/>
    </x:row>
    <x:row r="20" ht="44" customHeight="1">
      <x:c r="A20" s="8" t="str">
        <x:v>Q15</x:v>
      </x:c>
      <x:c r="B20" s="8" t="str">
        <x:v>图片分析</x:v>
      </x:c>
      <x:c r="C20" s="8" t="str">
        <x:v>图片人脸与工服底库命中</x:v>
      </x:c>
      <x:c r="D20" s="8" t="str">
        <x:v>分别使用Q11/Q13已入库原图；各1张。同图用于功能自洽，不代表独立精度验证。</x:v>
      </x:c>
      <x:c r="E20" s="8" t="str">
        <x:v>DUT;FACE-ZIP;UNIFORM-IMAGE</x:v>
      </x:c>
      <x:c r="F20" s="14" t="n">
        <x:v>5</x:v>
      </x:c>
      <x:c r="G20" s="14" t="n">
        <x:v>8</x:v>
      </x:c>
      <x:c r="H20" s="8" t="str">
        <x:v>释放本轮图片任务；保留底库至 Q24。</x:v>
      </x:c>
      <x:c r="I20" s="8" t="str">
        <x:v>IMAGE-004;IMAGE-005;FACE-015;UNIFORM-009</x:v>
      </x:c>
      <x:c r="J20" s="15" t="str">
        <x:v>未执行</x:v>
      </x:c>
      <x:c r="K20" s="15" t="str"/>
      <x:c r="L20" s="15" t="str"/>
    </x:row>
    <x:row r="21" ht="44" customHeight="1">
      <x:c r="A21" s="3" t="str">
        <x:v>Q16</x:v>
      </x:c>
      <x:c r="B21" s="3" t="str">
        <x:v>图片分析</x:v>
      </x:c>
      <x:c r="C21" s="3" t="str">
        <x:v>双图人脸与工服比对</x:v>
      </x:c>
      <x:c r="D21" s="3" t="str">
        <x:v>双图能力已部署且对应模型齐备；人脸、工服各1对，允许同图做功能自洽。</x:v>
      </x:c>
      <x:c r="E21" s="3" t="str">
        <x:v>DUT;FACE-ZIP;UNIFORM-IMAGE</x:v>
      </x:c>
      <x:c r="F21" s="13" t="n">
        <x:v>4</x:v>
      </x:c>
      <x:c r="G21" s="13" t="n">
        <x:v>7</x:v>
      </x:c>
      <x:c r="H21" s="3" t="str">
        <x:v>清空两侧测试图并释放临时任务。</x:v>
      </x:c>
      <x:c r="I21" s="3" t="str">
        <x:v>IMAGE-008;IMAGE-010;IMAGE-011</x:v>
      </x:c>
      <x:c r="J21" s="15" t="str">
        <x:v>未执行</x:v>
      </x:c>
      <x:c r="K21" s="15" t="str"/>
      <x:c r="L21" s="15" t="str"/>
    </x:row>
    <x:row r="22" ht="78" customHeight="1">
      <x:c r="A22" s="8" t="str">
        <x:v>Q26</x:v>
      </x:c>
      <x:c r="B22" s="8" t="str">
        <x:v>大模型算法</x:v>
      </x:c>
      <x:c r="C22" s="8" t="str">
        <x:v>视觉语言大模型：图片判断、视频任务与事件</x:v>
      </x:c>
      <x:c r="D22" s="8" t="str">
        <x:v>先核对目标芯片兼容且可在设备加载的 VLM 模型、分词器等配套资源；现有 Qwen 原始文件不能直接等同可导入包。固定含清晰行人与不含行人的图片各1张，复用 Q08 行人视频；提示词及预期结果先记录。</x:v>
      </x:c>
      <x:c r="E22" s="8" t="str">
        <x:v>DUT;VLM-MODEL;MODEL-INVENTORY;IMAGE-MEDIA;FACE-VIDEO</x:v>
      </x:c>
      <x:c r="F22" s="14" t="n">
        <x:v>12</x:v>
      </x:c>
      <x:c r="G22" s="14" t="n">
        <x:v>22</x:v>
      </x:c>
      <x:c r="H22" s="8" t="str">
        <x:v>删除本轮图片/视频 VLM 场景与任务，恢复原模型和参数；不删除用户已有模型。</x:v>
      </x:c>
      <x:c r="I22" s="8" t="str">
        <x:v>ALG-89336;ALG-92034707;ALG-34707</x:v>
      </x:c>
      <x:c r="J22" s="15" t="str">
        <x:v>未执行</x:v>
      </x:c>
      <x:c r="K22" s="15" t="str"/>
      <x:c r="L22" s="15" t="str"/>
    </x:row>
    <x:row r="23" ht="61" customHeight="1">
      <x:c r="A23" s="3" t="str">
        <x:v>Q27</x:v>
      </x:c>
      <x:c r="B23" s="3" t="str">
        <x:v>大模型算法</x:v>
      </x:c>
      <x:c r="C23" s="3" t="str">
        <x:v>视觉检测大模型：开放类别检测与事件</x:v>
      </x:c>
      <x:c r="D23" s="3" t="str">
        <x:v>核对当前后端可运行的 DINO 检测模型及词表等配套文件；已有 BM1688 GroundingDINO 包是候选，仍须在目标设备验证。选清晰有人正图、无人负图和 Q08 行人视频，提示词固定为英文 person。</x:v>
      </x:c>
      <x:c r="E23" s="3" t="str">
        <x:v>DUT;DINO-MODEL;MODEL-INVENTORY;IMAGE-MEDIA;FACE-VIDEO</x:v>
      </x:c>
      <x:c r="F23" s="13" t="n">
        <x:v>10</x:v>
      </x:c>
      <x:c r="G23" s="13" t="n">
        <x:v>18</x:v>
      </x:c>
      <x:c r="H23" s="3" t="str">
        <x:v>停止并删除本轮 DINO 图片/视频场景及任务；仅删除本轮导入的临时模型，保留原模型。</x:v>
      </x:c>
      <x:c r="I23" s="3" t="str">
        <x:v>ALG-8533;ALG-2935</x:v>
      </x:c>
      <x:c r="J23" s="15" t="str">
        <x:v>未执行</x:v>
      </x:c>
      <x:c r="K23" s="15" t="str"/>
      <x:c r="L23" s="15" t="str"/>
    </x:row>
    <x:row r="24" ht="44" customHeight="1">
      <x:c r="A24" s="8" t="str">
        <x:v>Q17</x:v>
      </x:c>
      <x:c r="B24" s="8" t="str">
        <x:v>事件与展示</x:v>
      </x:c>
      <x:c r="C24" s="8" t="str">
        <x:v>事件查询、重置、详情和导出</x:v>
      </x:c>
      <x:c r="D24" s="8" t="str">
        <x:v>复用Q08/Q12/Q13本轮事件；普通告警和人脸结果各抽1类。若某类模型排除，只跳过其对应子步。</x:v>
      </x:c>
      <x:c r="E24" s="8" t="str">
        <x:v>DUT</x:v>
      </x:c>
      <x:c r="F24" s="14" t="n">
        <x:v>5</x:v>
      </x:c>
      <x:c r="G24" s="14" t="n">
        <x:v>8</x:v>
      </x:c>
      <x:c r="H24" s="8" t="str">
        <x:v>保留必要证据，不清理用户历史事件。</x:v>
      </x:c>
      <x:c r="I24" s="8" t="str">
        <x:v>EVENT-001;EVENT-003;EVENT-004;EVENT-005;REG-010;REG-011</x:v>
      </x:c>
      <x:c r="J24" s="15" t="str">
        <x:v>未执行</x:v>
      </x:c>
      <x:c r="K24" s="15" t="str"/>
      <x:c r="L24" s="15" t="str"/>
    </x:row>
    <x:row r="25" ht="44" customHeight="1">
      <x:c r="A25" s="3" t="str">
        <x:v>Q28</x:v>
      </x:c>
      <x:c r="B25" s="3" t="str">
        <x:v>事件与展示</x:v>
      </x:c>
      <x:c r="C25" s="3" t="str">
        <x:v>大屏多路预览与算法叠加</x:v>
      </x:c>
      <x:c r="D25" s="3" t="str">
        <x:v>复用至少2路已建立且有有效算法任务的测试通道；记录通道与任务映射及大屏原布局。以本轮新画面和新推理结果验收。</x:v>
      </x:c>
      <x:c r="E25" s="3" t="str">
        <x:v>DUT;MODEL-INVENTORY</x:v>
      </x:c>
      <x:c r="F25" s="13" t="n">
        <x:v>6</x:v>
      </x:c>
      <x:c r="G25" s="13" t="n">
        <x:v>10</x:v>
      </x:c>
      <x:c r="H25" s="3" t="str">
        <x:v>关闭本轮预览并恢复进入前布局；不停止其他已有客户端或业务任务。</x:v>
      </x:c>
      <x:c r="I25" s="3" t="str">
        <x:v>LIVE-001;LIVE-002;LIVE-003;LIVE-005;LIVE-006</x:v>
      </x:c>
      <x:c r="J25" s="15" t="str">
        <x:v>未执行</x:v>
      </x:c>
      <x:c r="K25" s="15" t="str"/>
      <x:c r="L25" s="15" t="str"/>
    </x:row>
    <x:row r="26" ht="44" customHeight="1">
      <x:c r="A26" s="8" t="str">
        <x:v>Q18</x:v>
      </x:c>
      <x:c r="B26" s="8" t="str">
        <x:v>事件与展示</x:v>
      </x:c>
      <x:c r="C26" s="8" t="str">
        <x:v>实时告警与首页统计显示</x:v>
      </x:c>
      <x:c r="D26" s="8" t="str">
        <x:v>复用已运行检测任务和本轮事件；统计只验证已部署且能生成测试数据的指标。</x:v>
      </x:c>
      <x:c r="E26" s="8" t="str">
        <x:v>DUT</x:v>
      </x:c>
      <x:c r="F26" s="14" t="n">
        <x:v>2</x:v>
      </x:c>
      <x:c r="G26" s="14" t="n">
        <x:v>4</x:v>
      </x:c>
      <x:c r="H26" s="8" t="str">
        <x:v>退出大屏并恢复原布局，不遗留无用播放连接。</x:v>
      </x:c>
      <x:c r="I26" s="8" t="str">
        <x:v>LIVE-004;HOME-001;EVENT-007</x:v>
      </x:c>
      <x:c r="J26" s="15" t="str">
        <x:v>未执行</x:v>
      </x:c>
      <x:c r="K26" s="15" t="str"/>
      <x:c r="L26" s="15" t="str"/>
    </x:row>
    <x:row r="27" ht="44" customHeight="1">
      <x:c r="A27" s="3" t="str">
        <x:v>Q19</x:v>
      </x:c>
      <x:c r="B27" s="3" t="str">
        <x:v>数据对接</x:v>
      </x:c>
      <x:c r="C27" s="3" t="str">
        <x:v>HTTP 告警推送闭环</x:v>
      </x:c>
      <x:c r="D27" s="3" t="str">
        <x:v>隔离接收服务已可达并可查看请求记录；沿用已授权目的地。接收端不可用只阻塞本例。</x:v>
      </x:c>
      <x:c r="E27" s="3" t="str">
        <x:v>DUT;HTTP-RECEIVER;PUSH-AUTHORIZATION</x:v>
      </x:c>
      <x:c r="F27" s="13" t="n">
        <x:v>5</x:v>
      </x:c>
      <x:c r="G27" s="13" t="n">
        <x:v>8</x:v>
      </x:c>
      <x:c r="H27" s="3" t="str">
        <x:v>恢复测试前HTTP配置；不要改用未授权外部接收站。</x:v>
      </x:c>
      <x:c r="I27" s="3" t="str">
        <x:v>PUSH-001;PUSH-003;PUSH-009</x:v>
      </x:c>
      <x:c r="J27" s="15" t="str">
        <x:v>未执行</x:v>
      </x:c>
      <x:c r="K27" s="15" t="str"/>
      <x:c r="L27" s="15" t="str"/>
    </x:row>
    <x:row r="28" ht="44" customHeight="1">
      <x:c r="A28" s="8" t="str">
        <x:v>Q20</x:v>
      </x:c>
      <x:c r="B28" s="8" t="str">
        <x:v>数据对接</x:v>
      </x:c>
      <x:c r="C28" s="8" t="str">
        <x:v>MQTT 注册、业务响应和告警</x:v>
      </x:c>
      <x:c r="D28" s="8" t="str">
        <x:v>隔离Broker及订阅端可用；按当前协议确定topic、设备标识和心跳周期。</x:v>
      </x:c>
      <x:c r="E28" s="8" t="str">
        <x:v>DUT;MQTT-BROKER;PUSH-AUTHORIZATION</x:v>
      </x:c>
      <x:c r="F28" s="14" t="n">
        <x:v>5</x:v>
      </x:c>
      <x:c r="G28" s="14" t="n">
        <x:v>8</x:v>
      </x:c>
      <x:c r="H28" s="8" t="str">
        <x:v>停止本轮订阅/请求并恢复原MQTT配置。</x:v>
      </x:c>
      <x:c r="I28" s="8" t="str">
        <x:v>PUSH-004;PUSH-005;PUSH-006</x:v>
      </x:c>
      <x:c r="J28" s="15" t="str">
        <x:v>未执行</x:v>
      </x:c>
      <x:c r="K28" s="15" t="str"/>
      <x:c r="L28" s="15" t="str"/>
    </x:row>
    <x:row r="29" ht="44" customHeight="1">
      <x:c r="A29" s="3" t="str">
        <x:v>Q21</x:v>
      </x:c>
      <x:c r="B29" s="3" t="str">
        <x:v>系统管理</x:v>
      </x:c>
      <x:c r="C29" s="3" t="str">
        <x:v>系统设置保存、刷新及恢复</x:v>
      </x:c>
      <x:c r="D29" s="3" t="str">
        <x:v>记录原系统设置；仅选可恢复配置，不修改管理IP、密码或设备时间。</x:v>
      </x:c>
      <x:c r="E29" s="3" t="str">
        <x:v>DUT</x:v>
      </x:c>
      <x:c r="F29" s="13" t="n">
        <x:v>4</x:v>
      </x:c>
      <x:c r="G29" s="13" t="n">
        <x:v>6</x:v>
      </x:c>
      <x:c r="H29" s="3" t="str">
        <x:v>本例内恢复全部原值；清理由测试生成的个性化图片。</x:v>
      </x:c>
      <x:c r="I29" s="3" t="str">
        <x:v>SYS-001;SYS-003;SYS-004;SYS-007</x:v>
      </x:c>
      <x:c r="J29" s="15" t="str">
        <x:v>未执行</x:v>
      </x:c>
      <x:c r="K29" s="15" t="str"/>
      <x:c r="L29" s="15" t="str"/>
    </x:row>
    <x:row r="30" ht="36" customHeight="1">
      <x:c r="A30" s="8" t="str">
        <x:v>Q22</x:v>
      </x:c>
      <x:c r="B30" s="8" t="str">
        <x:v>系统管理</x:v>
      </x:c>
      <x:c r="C30" s="8" t="str">
        <x:v>设备日志下载与网络状态</x:v>
      </x:c>
      <x:c r="D30" s="8" t="str">
        <x:v>系统已有测试期间日志；网络只读，不做IP/DHCP切换。</x:v>
      </x:c>
      <x:c r="E30" s="8" t="str">
        <x:v>DUT</x:v>
      </x:c>
      <x:c r="F30" s="14" t="n">
        <x:v>3</x:v>
      </x:c>
      <x:c r="G30" s="14" t="n">
        <x:v>5</x:v>
      </x:c>
      <x:c r="H30" s="8" t="str">
        <x:v>保存脱敏日志证据；不清空设备日志。</x:v>
      </x:c>
      <x:c r="I30" s="8" t="str">
        <x:v>SYS-006;NET-001;NET-006;REG-008</x:v>
      </x:c>
      <x:c r="J30" s="15" t="str">
        <x:v>未执行</x:v>
      </x:c>
      <x:c r="K30" s="15" t="str"/>
      <x:c r="L30" s="15" t="str"/>
    </x:row>
    <x:row r="31" ht="44" customHeight="1">
      <x:c r="A31" s="3" t="str">
        <x:v>Q23</x:v>
      </x:c>
      <x:c r="B31" s="3" t="str">
        <x:v>必要补充</x:v>
      </x:c>
      <x:c r="C31" s="3" t="str">
        <x:v>常见错误提示及恢复</x:v>
      </x:c>
      <x:c r="D31" s="3" t="str">
        <x:v>使用本轮隔离对象；只选无效RTSP地址和空必填字段各1个，不做资源压满或安全扫描。</x:v>
      </x:c>
      <x:c r="E31" s="3" t="str">
        <x:v>DUT;GENERATED-FIXTURES</x:v>
      </x:c>
      <x:c r="F31" s="13" t="n">
        <x:v>3</x:v>
      </x:c>
      <x:c r="G31" s="13" t="n">
        <x:v>5</x:v>
      </x:c>
      <x:c r="H31" s="3" t="str">
        <x:v>删除失败占位对象；恢复有效配置。</x:v>
      </x:c>
      <x:c r="I31" s="3" t="str">
        <x:v>CAM-006;AUTH-005;HOME-005;REG-009</x:v>
      </x:c>
      <x:c r="J31" s="15" t="str">
        <x:v>未执行</x:v>
      </x:c>
      <x:c r="K31" s="15" t="str"/>
      <x:c r="L31" s="15" t="str"/>
    </x:row>
    <x:row r="32" ht="44" customHeight="1">
      <x:c r="A32" s="8" t="str">
        <x:v>Q24</x:v>
      </x:c>
      <x:c r="B32" s="8" t="str">
        <x:v>收尾交付</x:v>
      </x:c>
      <x:c r="C32" s="8" t="str">
        <x:v>依赖清理、退出与逐项报告</x:v>
      </x:c>
      <x:c r="D32" s="8" t="str">
        <x:v>仅处理本轮前缀对象。保留最小复现对象需要明确记录，不能默认为已清理。</x:v>
      </x:c>
      <x:c r="E32" s="8" t="str">
        <x:v>DUT</x:v>
      </x:c>
      <x:c r="F32" s="14" t="n">
        <x:v>4</x:v>
      </x:c>
      <x:c r="G32" s="14" t="n">
        <x:v>6</x:v>
      </x:c>
      <x:c r="H32" s="8" t="str">
        <x:v>对照Q01基线；所有未恢复项单列，不把保留对象当清理完成。</x:v>
      </x:c>
      <x:c r="I32" s="8" t="str">
        <x:v>REG-005;REG-006;AUTH-001;CAM-009;TASK-014;SCENE-007</x:v>
      </x:c>
      <x:c r="J32" s="15" t="str">
        <x:v>未执行</x:v>
      </x:c>
      <x:c r="K32" s="15" t="str"/>
      <x:c r="L32" s="15" t="str"/>
    </x:row>
  </x:sheetData>
  <x:conditionalFormatting sqref="J5:J32">
    <x:cfRule type="containsText" dxfId="0" priority="1" operator="containsText" text="失败"/>
    <x:cfRule type="containsText" dxfId="1" priority="2" operator="containsText" text="阻塞"/>
    <x:cfRule type="containsText" dxfId="2" priority="3" operator="containsText" text="部分完成"/>
  </x:conditionalFormatting>
  <x:dataValidations count="1">
    <x:dataValidation type="list" sqref="J5:J32">
      <x:formula1>"未执行,通过,失败,阻塞,部分完成,不适用"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1452dbcac242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64" hidden="0" customWidth="1"/>
    <x:col min="4" max="4" width="64" hidden="0" customWidth="1"/>
    <x:col min="5" max="5" width="42" hidden="0" customWidth="1"/>
    <x:col min="6" max="6" width="48" hidden="0" customWidth="1"/>
    <x:col min="7" max="7" width="16" hidden="0" customWidth="1"/>
    <x:col min="8" max="8" width="50" hidden="0" customWidth="1"/>
    <x:col min="9" max="9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11" t="str">
        <x:v>逐步执行与验收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7" t="str">
        <x:v>用例编号</x:v>
      </x:c>
      <x:c r="B4" s="7" t="str">
        <x:v>步骤编号</x:v>
      </x:c>
      <x:c r="C4" s="7" t="str">
        <x:v>操作</x:v>
      </x:c>
      <x:c r="D4" s="7" t="str">
        <x:v>可判定预期</x:v>
      </x:c>
      <x:c r="E4" s="7" t="str">
        <x:v>最小证据要求</x:v>
      </x:c>
      <x:c r="F4" s="7" t="str">
        <x:v>实际结果</x:v>
      </x:c>
      <x:c r="G4" s="7" t="str">
        <x:v>步骤状态</x:v>
      </x:c>
      <x:c r="H4" s="7" t="str">
        <x:v>未通过原因/下一步</x:v>
      </x:c>
      <x:c r="I4" s="7" t="str">
        <x:v>证据路径</x:v>
      </x:c>
    </x:row>
    <x:row r="5" ht="44" customHeight="1">
      <x:c r="A5" s="3" t="str">
        <x:v>Q01</x:v>
      </x:c>
      <x:c r="B5" s="3" t="str">
        <x:v>Q01-S01</x:v>
      </x:c>
      <x:c r="C5" s="3" t="str">
        <x:v>运行资源包快速预检；首次迁移先做完整哈希校验。记录目标版本、设备类型、浏览器和本轮标识。</x:v>
      </x:c>
      <x:c r="D5" s="3" t="str">
        <x:v>输出缺口及影响用例；没有把远端端口可达当作协议验证；设备版本可追溯。</x:v>
      </x:c>
      <x:c r="E5" s="3" t="str">
        <x:v>预检 JSON、版本页、时间和本轮标识。</x:v>
      </x:c>
      <x:c r="F5" s="15" t="str"/>
      <x:c r="G5" s="15" t="str">
        <x:v>未执行</x:v>
      </x:c>
      <x:c r="H5" s="15" t="str"/>
      <x:c r="I5" s="15" t="str"/>
    </x:row>
    <x:row r="6" ht="36" customHeight="1">
      <x:c r="A6" s="8" t="str">
        <x:v>Q01</x:v>
      </x:c>
      <x:c r="B6" s="8" t="str">
        <x:v>Q01-S02</x:v>
      </x:c>
      <x:c r="C6" s="8" t="str">
        <x:v>登录页试一次错误密码，再使用本轮正确账户登录；刷新首页。</x:v>
      </x:c>
      <x:c r="D6" s="8" t="str">
        <x:v>错误登录被拒绝且可再次提交；正确登录成功；刷新不无故掉线。</x:v>
      </x:c>
      <x:c r="E6" s="8" t="str">
        <x:v>两次登录提示和首页截图；不记录密码。</x:v>
      </x:c>
      <x:c r="F6" s="15" t="str"/>
      <x:c r="G6" s="15" t="str">
        <x:v>未执行</x:v>
      </x:c>
      <x:c r="H6" s="15" t="str"/>
      <x:c r="I6" s="15" t="str"/>
    </x:row>
    <x:row r="7" ht="44" customHeight="1">
      <x:c r="A7" s="3" t="str">
        <x:v>Q01</x:v>
      </x:c>
      <x:c r="B7" s="3" t="str">
        <x:v>Q01-S03</x:v>
      </x:c>
      <x:c r="C7" s="3" t="str">
        <x:v>核对已有通道、任务、底库数量及设备资源；逐个打开本轮涉及的主要菜单。</x:v>
      </x:c>
      <x:c r="D7" s="3" t="str">
        <x:v>主要菜单可访问；记录原有对象清单；不把“页面能打开”算作后续业务通过。</x:v>
      </x:c>
      <x:c r="E7" s="3" t="str">
        <x:v>首页基线和原有对象清单。</x:v>
      </x:c>
      <x:c r="F7" s="15" t="str"/>
      <x:c r="G7" s="15" t="str">
        <x:v>未执行</x:v>
      </x:c>
      <x:c r="H7" s="15" t="str"/>
      <x:c r="I7" s="15" t="str"/>
    </x:row>
    <x:row r="8" ht="44" customHeight="1">
      <x:c r="A8" s="8" t="str">
        <x:v>Q02</x:v>
      </x:c>
      <x:c r="B8" s="8" t="str">
        <x:v>Q02-S01</x:v>
      </x:c>
      <x:c r="C8" s="8" t="str">
        <x:v>导入1个小模型包；等待上传、解包和入库完成。</x:v>
      </x:c>
      <x:c r="D8" s="8" t="str">
        <x:v>模型可检索，类型、编号和版本与包内容一致；仅上传完成不算入库完成。</x:v>
      </x:c>
      <x:c r="E8" s="8" t="str">
        <x:v>包校验值、导入结果和模型详情。</x:v>
      </x:c>
      <x:c r="F8" s="15" t="str"/>
      <x:c r="G8" s="15" t="str">
        <x:v>未执行</x:v>
      </x:c>
      <x:c r="H8" s="15" t="str"/>
      <x:c r="I8" s="15" t="str"/>
    </x:row>
    <x:row r="9" ht="44" customHeight="1">
      <x:c r="A9" s="3" t="str">
        <x:v>Q02</x:v>
      </x:c>
      <x:c r="B9" s="3" t="str">
        <x:v>Q02-S02</x:v>
      </x:c>
      <x:c r="C9" s="3" t="str">
        <x:v>分别按名称、编号查询；切换分类后核对同一模型；修改允许编辑的名称/说明并刷新。</x:v>
      </x:c>
      <x:c r="D9" s="3" t="str">
        <x:v>查询定位到同一对象；分类切换不改变版本显示；修改保存且其他模型不受影响。</x:v>
      </x:c>
      <x:c r="E9" s="3" t="str">
        <x:v>查询和刷新后的详情。</x:v>
      </x:c>
      <x:c r="F9" s="15" t="str"/>
      <x:c r="G9" s="15" t="str">
        <x:v>未执行</x:v>
      </x:c>
      <x:c r="H9" s="15" t="str"/>
      <x:c r="I9" s="15" t="str"/>
    </x:row>
    <x:row r="10" ht="44" customHeight="1">
      <x:c r="A10" s="8" t="str">
        <x:v>Q02</x:v>
      </x:c>
      <x:c r="B10" s="8" t="str">
        <x:v>Q02-S03</x:v>
      </x:c>
      <x:c r="C10" s="8" t="str">
        <x:v>通过临时兼容场景调用该模型，对1张可用图片做分析；导出模型包并核对归档可读和元信息。</x:v>
      </x:c>
      <x:c r="D10" s="8" t="str">
        <x:v>加载和推理成功，有结构化结果；导出文件非空、归档可读、模型身份一致。</x:v>
      </x:c>
      <x:c r="E10" s="8" t="str">
        <x:v>推理结果和导出文件大小/哈希/目录。</x:v>
      </x:c>
      <x:c r="F10" s="15" t="str"/>
      <x:c r="G10" s="15" t="str">
        <x:v>未执行</x:v>
      </x:c>
      <x:c r="H10" s="15" t="str"/>
      <x:c r="I10" s="15" t="str"/>
    </x:row>
    <x:row r="11" ht="44" customHeight="1">
      <x:c r="A11" s="3" t="str">
        <x:v>Q02</x:v>
      </x:c>
      <x:c r="B11" s="3" t="str">
        <x:v>Q02-S04</x:v>
      </x:c>
      <x:c r="C11" s="3" t="str">
        <x:v>删除临时场景和该模型，刷新并按编号再查询。</x:v>
      </x:c>
      <x:c r="D11" s="3" t="str">
        <x:v>临时模型消失；原有模型数量恢复；如在用删除有保护，应先解除引用再成功删除。</x:v>
      </x:c>
      <x:c r="E11" s="3" t="str">
        <x:v>删除结果及前后对象清单。</x:v>
      </x:c>
      <x:c r="F11" s="15" t="str"/>
      <x:c r="G11" s="15" t="str">
        <x:v>未执行</x:v>
      </x:c>
      <x:c r="H11" s="15" t="str"/>
      <x:c r="I11" s="15" t="str"/>
    </x:row>
    <x:row r="12" ht="44" customHeight="1">
      <x:c r="A12" s="8" t="str">
        <x:v>Q03</x:v>
      </x:c>
      <x:c r="B12" s="8" t="str">
        <x:v>Q03-S01</x:v>
      </x:c>
      <x:c r="C12" s="8" t="str">
        <x:v>从可用模板创建1个视频场景，再创建1个图片场景；统一使用本轮前缀命名。</x:v>
      </x:c>
      <x:c r="D12" s="8" t="str">
        <x:v>两类场景分别出现在相应选择列表；名称和任务类型正确，不混用图片/视频类型。</x:v>
      </x:c>
      <x:c r="E12" s="8" t="str">
        <x:v>创建记录和类型筛选截图。</x:v>
      </x:c>
      <x:c r="F12" s="15" t="str"/>
      <x:c r="G12" s="15" t="str">
        <x:v>未执行</x:v>
      </x:c>
      <x:c r="H12" s="15" t="str"/>
      <x:c r="I12" s="15" t="str"/>
    </x:row>
    <x:row r="13" ht="44" customHeight="1">
      <x:c r="A13" s="3" t="str">
        <x:v>Q03</x:v>
      </x:c>
      <x:c r="B13" s="3" t="str">
        <x:v>Q03-S02</x:v>
      </x:c>
      <x:c r="C13" s="3" t="str">
        <x:v>打开编排，新增再删除1个可选节点，保持有效的输入、检测和输出链；保存后重新打开。</x:v>
      </x:c>
      <x:c r="D13" s="3" t="str">
        <x:v>编排能保存并回读；节点、连接和模型引用保持一致，无无效断链。</x:v>
      </x:c>
      <x:c r="E13" s="3" t="str">
        <x:v>保存前后编排截图。</x:v>
      </x:c>
      <x:c r="F13" s="15" t="str"/>
      <x:c r="G13" s="15" t="str">
        <x:v>未执行</x:v>
      </x:c>
      <x:c r="H13" s="15" t="str"/>
      <x:c r="I13" s="15" t="str"/>
    </x:row>
    <x:row r="14" ht="44" customHeight="1">
      <x:c r="A14" s="8" t="str">
        <x:v>Q03</x:v>
      </x:c>
      <x:c r="B14" s="8" t="str">
        <x:v>Q03-S03</x:v>
      </x:c>
      <x:c r="C14" s="8" t="str">
        <x:v>修改名称、说明和1个有效场景默认阈值；按名称及类型查询；刷新页面。</x:v>
      </x:c>
      <x:c r="D14" s="8" t="str">
        <x:v>编辑持久化；不同场景互不污染；图片分析的选项同步更新。</x:v>
      </x:c>
      <x:c r="E14" s="8" t="str">
        <x:v>场景参数及筛选结果。</x:v>
      </x:c>
      <x:c r="F14" s="15" t="str"/>
      <x:c r="G14" s="15" t="str">
        <x:v>未执行</x:v>
      </x:c>
      <x:c r="H14" s="15" t="str"/>
      <x:c r="I14" s="15" t="str"/>
    </x:row>
    <x:row r="15" ht="44" customHeight="1">
      <x:c r="A15" s="3" t="str">
        <x:v>Q03</x:v>
      </x:c>
      <x:c r="B15" s="3" t="str">
        <x:v>Q03-S04</x:v>
      </x:c>
      <x:c r="C15" s="3" t="str">
        <x:v>在后续视频/图片用例实际运行两类场景；完成后按 Q24 解除引用并删除，再检查选择列表。</x:v>
      </x:c>
      <x:c r="D15" s="3" t="str">
        <x:v>场景真实可执行；删除后列表不保留失效选项；未删除时本例保持部分完成。</x:v>
      </x:c>
      <x:c r="E15" s="3" t="str">
        <x:v>关联 Q04/Q14 运行证据及 Q24 删除证据。</x:v>
      </x:c>
      <x:c r="F15" s="15" t="str"/>
      <x:c r="G15" s="15" t="str">
        <x:v>未执行</x:v>
      </x:c>
      <x:c r="H15" s="15" t="str"/>
      <x:c r="I15" s="15" t="str"/>
    </x:row>
    <x:row r="16" ht="36" customHeight="1">
      <x:c r="A16" s="8" t="str">
        <x:v>Q04</x:v>
      </x:c>
      <x:c r="B16" s="8" t="str">
        <x:v>Q04-S01</x:v>
      </x:c>
      <x:c r="C16" s="8" t="str">
        <x:v>添加摄像机 RTSP 地址，预览并抓拍；修改显示名称并刷新查询。</x:v>
      </x:c>
      <x:c r="D16" s="8" t="str">
        <x:v>画面属于目标摄像机且有更新时间；抓拍是当前源；修改持久化。</x:v>
      </x:c>
      <x:c r="E16" s="8" t="str">
        <x:v>脱敏地址、通道ID和带时间的抓拍。</x:v>
      </x:c>
      <x:c r="F16" s="15" t="str"/>
      <x:c r="G16" s="15" t="str">
        <x:v>未执行</x:v>
      </x:c>
      <x:c r="H16" s="15" t="str"/>
      <x:c r="I16" s="15" t="str"/>
    </x:row>
    <x:row r="17" ht="44" customHeight="1">
      <x:c r="A17" s="3" t="str">
        <x:v>Q04</x:v>
      </x:c>
      <x:c r="B17" s="3" t="str">
        <x:v>Q04-S02</x:v>
      </x:c>
      <x:c r="C17" s="3" t="str">
        <x:v>绑定基础检测场景并启用；观察30–60秒，取一帧有目标画面。</x:v>
      </x:c>
      <x:c r="D17" s="3" t="str">
        <x:v>解码和推理持续运行；有检测框/结构化目标结果，不能只看运行状态。</x:v>
      </x:c>
      <x:c r="E17" s="3" t="str">
        <x:v>算法画面、目标结果和时间窗。</x:v>
      </x:c>
      <x:c r="F17" s="15" t="str"/>
      <x:c r="G17" s="15" t="str">
        <x:v>未执行</x:v>
      </x:c>
      <x:c r="H17" s="15" t="str"/>
      <x:c r="I17" s="15" t="str"/>
    </x:row>
    <x:row r="18" ht="36" customHeight="1">
      <x:c r="A18" s="8" t="str">
        <x:v>Q04</x:v>
      </x:c>
      <x:c r="B18" s="8" t="str">
        <x:v>Q04-S03</x:v>
      </x:c>
      <x:c r="C18" s="8" t="str">
        <x:v>添加 NVR 1个独立子通道 RTSP，重复预览和同场景推理。</x:v>
      </x:c>
      <x:c r="D18" s="8" t="str">
        <x:v>NVR目标子通道画面正确；真实输出检测结果；未串到其他通道。</x:v>
      </x:c>
      <x:c r="E18" s="8" t="str">
        <x:v>NVR通道映射和推理结果。</x:v>
      </x:c>
      <x:c r="F18" s="15" t="str"/>
      <x:c r="G18" s="15" t="str">
        <x:v>未执行</x:v>
      </x:c>
      <x:c r="H18" s="15" t="str"/>
      <x:c r="I18" s="15" t="str"/>
    </x:row>
    <x:row r="19" ht="44" customHeight="1">
      <x:c r="A19" s="3" t="str">
        <x:v>Q05</x:v>
      </x:c>
      <x:c r="B19" s="3" t="str">
        <x:v>Q05-S01</x:v>
      </x:c>
      <x:c r="C19" s="3" t="str">
        <x:v>执行 ONVIF 搜索，选择发现设备并填写协议账号；确认码流信息后添加。</x:v>
      </x:c>
      <x:c r="D19" s="3" t="str">
        <x:v>能发现并正确认证；通道建立成功；失败明确提示认证或协议问题，不冒充添加成功。</x:v>
      </x:c>
      <x:c r="E19" s="3" t="str">
        <x:v>发现列表、添加结果和通道ID。</x:v>
      </x:c>
      <x:c r="F19" s="15" t="str"/>
      <x:c r="G19" s="15" t="str">
        <x:v>未执行</x:v>
      </x:c>
      <x:c r="H19" s="15" t="str"/>
      <x:c r="I19" s="15" t="str"/>
    </x:row>
    <x:row r="20" ht="36" customHeight="1">
      <x:c r="A20" s="8" t="str">
        <x:v>Q05</x:v>
      </x:c>
      <x:c r="B20" s="8" t="str">
        <x:v>Q05-S02</x:v>
      </x:c>
      <x:c r="C20" s="8" t="str">
        <x:v>预览抓拍后绑定同一基础检测场景，观察30–60秒。</x:v>
      </x:c>
      <x:c r="D20" s="8" t="str">
        <x:v>源画面正确；实际推理输出目标/检测框，且能定位到此通道。</x:v>
      </x:c>
      <x:c r="E20" s="8" t="str">
        <x:v>算法结果与时间窗。</x:v>
      </x:c>
      <x:c r="F20" s="15" t="str"/>
      <x:c r="G20" s="15" t="str">
        <x:v>未执行</x:v>
      </x:c>
      <x:c r="H20" s="15" t="str"/>
      <x:c r="I20" s="15" t="str"/>
    </x:row>
    <x:row r="21" ht="44" customHeight="1">
      <x:c r="A21" s="3" t="str">
        <x:v>Q05</x:v>
      </x:c>
      <x:c r="B21" s="3" t="str">
        <x:v>Q05-S03</x:v>
      </x:c>
      <x:c r="C21" s="3" t="str">
        <x:v>用手动IP/端口方式再添加1路，验证预览及推理；随后删除该重复测试通道。</x:v>
      </x:c>
      <x:c r="D21" s="3" t="str">
        <x:v>手动入口也能完成业务；不将自动添加结果当作手动入口通过；重复通道正确清理。</x:v>
      </x:c>
      <x:c r="E21" s="3" t="str">
        <x:v>手动添加、算法结果及删除记录。</x:v>
      </x:c>
      <x:c r="F21" s="15" t="str"/>
      <x:c r="G21" s="15" t="str">
        <x:v>未执行</x:v>
      </x:c>
      <x:c r="H21" s="15" t="str"/>
      <x:c r="I21" s="15" t="str"/>
    </x:row>
    <x:row r="22" ht="36" customHeight="1">
      <x:c r="A22" s="8" t="str">
        <x:v>Q06</x:v>
      </x:c>
      <x:c r="B22" s="8" t="str">
        <x:v>Q06-S01</x:v>
      </x:c>
      <x:c r="C22" s="8" t="str">
        <x:v>核对平台国标参数与摄像机注册状态，刷新设备目录。</x:v>
      </x:c>
      <x:c r="D22" s="8" t="str">
        <x:v>目标IPC在线；设备和通道编码对应；不是依赖历史在线缓存。</x:v>
      </x:c>
      <x:c r="E22" s="8" t="str">
        <x:v>平台配置摘要及设备目录。</x:v>
      </x:c>
      <x:c r="F22" s="15" t="str"/>
      <x:c r="G22" s="15" t="str">
        <x:v>未执行</x:v>
      </x:c>
      <x:c r="H22" s="15" t="str"/>
      <x:c r="I22" s="15" t="str"/>
    </x:row>
    <x:row r="23" ht="36" customHeight="1">
      <x:c r="A23" s="3" t="str">
        <x:v>Q06</x:v>
      </x:c>
      <x:c r="B23" s="3" t="str">
        <x:v>Q06-S02</x:v>
      </x:c>
      <x:c r="C23" s="3" t="str">
        <x:v>从目录选择1路添加为业务通道，点播预览和抓拍。</x:v>
      </x:c>
      <x:c r="D23" s="3" t="str">
        <x:v>添加状态、媒体接收及画面正确；无媒体不能记通过。</x:v>
      </x:c>
      <x:c r="E23" s="3" t="str">
        <x:v>通道ID和实际画面。</x:v>
      </x:c>
      <x:c r="F23" s="15" t="str"/>
      <x:c r="G23" s="15" t="str">
        <x:v>未执行</x:v>
      </x:c>
      <x:c r="H23" s="15" t="str"/>
      <x:c r="I23" s="15" t="str"/>
    </x:row>
    <x:row r="24" ht="44" customHeight="1">
      <x:c r="A24" s="8" t="str">
        <x:v>Q06</x:v>
      </x:c>
      <x:c r="B24" s="8" t="str">
        <x:v>Q06-S03</x:v>
      </x:c>
      <x:c r="C24" s="8" t="str">
        <x:v>绑定基础检测场景，观察30–60秒并记录结果。</x:v>
      </x:c>
      <x:c r="D24" s="8" t="str">
        <x:v>在国标媒体链路上完成真实推理并输出目标；不能用 RTSP 同源结果替代。</x:v>
      </x:c>
      <x:c r="E24" s="8" t="str">
        <x:v>国标通道的推理结果。</x:v>
      </x:c>
      <x:c r="F24" s="15" t="str"/>
      <x:c r="G24" s="15" t="str">
        <x:v>未执行</x:v>
      </x:c>
      <x:c r="H24" s="15" t="str"/>
      <x:c r="I24" s="15" t="str"/>
    </x:row>
    <x:row r="25" ht="36" customHeight="1">
      <x:c r="A25" s="3" t="str">
        <x:v>Q07</x:v>
      </x:c>
      <x:c r="B25" s="3" t="str">
        <x:v>Q07-S01</x:v>
      </x:c>
      <x:c r="C25" s="3" t="str">
        <x:v>刷新NVR目录，记录父设备及2个不同子通道编码；分别添加。</x:v>
      </x:c>
      <x:c r="D25" s="3" t="str">
        <x:v>父子对应正确；两路独立存在，没有以同一通道重复充数。</x:v>
      </x:c>
      <x:c r="E25" s="3" t="str">
        <x:v>父子编码映射及两个通道ID。</x:v>
      </x:c>
      <x:c r="F25" s="15" t="str"/>
      <x:c r="G25" s="15" t="str">
        <x:v>未执行</x:v>
      </x:c>
      <x:c r="H25" s="15" t="str"/>
      <x:c r="I25" s="15" t="str"/>
    </x:row>
    <x:row r="26" ht="36" customHeight="1">
      <x:c r="A26" s="8" t="str">
        <x:v>Q07</x:v>
      </x:c>
      <x:c r="B26" s="8" t="str">
        <x:v>Q07-S02</x:v>
      </x:c>
      <x:c r="C26" s="8" t="str">
        <x:v>分别预览/抓拍，核对两路画面来源。</x:v>
      </x:c>
      <x:c r="D26" s="8" t="str">
        <x:v>每路画面与实际映射一致；抓拍失败不沿用另一路或旧图。</x:v>
      </x:c>
      <x:c r="E26" s="8" t="str">
        <x:v>两张有通道标识及时间的抓拍。</x:v>
      </x:c>
      <x:c r="F26" s="15" t="str"/>
      <x:c r="G26" s="15" t="str">
        <x:v>未执行</x:v>
      </x:c>
      <x:c r="H26" s="15" t="str"/>
      <x:c r="I26" s="15" t="str"/>
    </x:row>
    <x:row r="27" ht="44" customHeight="1">
      <x:c r="A27" s="3" t="str">
        <x:v>Q07</x:v>
      </x:c>
      <x:c r="B27" s="3" t="str">
        <x:v>Q07-S03</x:v>
      </x:c>
      <x:c r="C27" s="3" t="str">
        <x:v>两路分别运行同一算法；若容量允许短时同时启用，否则串行验证并注明。</x:v>
      </x:c>
      <x:c r="D27" s="3" t="str">
        <x:v>两路均有独立推理结果，事件通道归属正确；串行通过不声称并发容量通过。</x:v>
      </x:c>
      <x:c r="E27" s="3" t="str">
        <x:v>每路运行结果、并发/串行方式。</x:v>
      </x:c>
      <x:c r="F27" s="15" t="str"/>
      <x:c r="G27" s="15" t="str">
        <x:v>未执行</x:v>
      </x:c>
      <x:c r="H27" s="15" t="str"/>
      <x:c r="I27" s="15" t="str"/>
    </x:row>
    <x:row r="28" ht="36" customHeight="1">
      <x:c r="A28" s="8" t="str">
        <x:v>Q08</x:v>
      </x:c>
      <x:c r="B28" s="8" t="str">
        <x:v>Q08-S01</x:v>
      </x:c>
      <x:c r="C28" s="8" t="str">
        <x:v>在本地视频入口上传短片段，建立通道并设置有限循环。</x:v>
      </x:c>
      <x:c r="D28" s="8" t="str">
        <x:v>上传、解码、通道创建全部完成；文件名和实际画面对应。</x:v>
      </x:c>
      <x:c r="E28" s="8" t="str">
        <x:v>素材哈希、上传结果和通道ID。</x:v>
      </x:c>
      <x:c r="F28" s="15" t="str"/>
      <x:c r="G28" s="15" t="str">
        <x:v>未执行</x:v>
      </x:c>
      <x:c r="H28" s="15" t="str"/>
      <x:c r="I28" s="15" t="str"/>
    </x:row>
    <x:row r="29" ht="44" customHeight="1">
      <x:c r="A29" s="3" t="str">
        <x:v>Q08</x:v>
      </x:c>
      <x:c r="B29" s="3" t="str">
        <x:v>Q08-S02</x:v>
      </x:c>
      <x:c r="C29" s="3" t="str">
        <x:v>播放并启用算法；让明确有人的片段经过检测区域。</x:v>
      </x:c>
      <x:c r="D29" s="3" t="str">
        <x:v>产生真实检测结果及至少1条可追溯事件；无事件需定位触发条件，不能只看任务在线。</x:v>
      </x:c>
      <x:c r="E29" s="3" t="str">
        <x:v>带时间的目标结果和事件ID。</x:v>
      </x:c>
      <x:c r="F29" s="15" t="str"/>
      <x:c r="G29" s="15" t="str">
        <x:v>未执行</x:v>
      </x:c>
      <x:c r="H29" s="15" t="str"/>
      <x:c r="I29" s="15" t="str"/>
    </x:row>
    <x:row r="30" ht="36" customHeight="1">
      <x:c r="A30" s="8" t="str">
        <x:v>Q08</x:v>
      </x:c>
      <x:c r="B30" s="8" t="str">
        <x:v>Q08-S03</x:v>
      </x:c>
      <x:c r="C30" s="8" t="str">
        <x:v>确认至少一次回放/循环，再暂停并恢复任务。</x:v>
      </x:c>
      <x:c r="D30" s="8" t="str">
        <x:v>循环按已设规则发生；恢复后继续输出；没有新建重复任务。</x:v>
      </x:c>
      <x:c r="E30" s="8" t="str">
        <x:v>循环和恢复的时序记录。</x:v>
      </x:c>
      <x:c r="F30" s="15" t="str"/>
      <x:c r="G30" s="15" t="str">
        <x:v>未执行</x:v>
      </x:c>
      <x:c r="H30" s="15" t="str"/>
      <x:c r="I30" s="15" t="str"/>
    </x:row>
    <x:row r="31" ht="44" customHeight="1">
      <x:c r="A31" s="3" t="str">
        <x:v>Q25</x:v>
      </x:c>
      <x:c r="B31" s="3" t="str">
        <x:v>Q25-S01</x:v>
      </x:c>
      <x:c r="C31" s="3" t="str">
        <x:v>刷新 USB 摄像头列表，核对连接设备数量、名称及设备节点或唯一标识；拔插操作仅在现场条件允许时进行。</x:v>
      </x:c>
      <x:c r="D31" s="3" t="str">
        <x:v>列表与实际接入硬件一致；未识别时记录具体状态和原因，不以空列表判通过。</x:v>
      </x:c>
      <x:c r="E31" s="3" t="str">
        <x:v>USB 硬件和页面设备标识、刷新前后截图。</x:v>
      </x:c>
      <x:c r="F31" s="15" t="str"/>
      <x:c r="G31" s="15" t="str">
        <x:v>未执行</x:v>
      </x:c>
      <x:c r="H31" s="15" t="str"/>
      <x:c r="I31" s="15" t="str"/>
    </x:row>
    <x:row r="32" ht="44" customHeight="1">
      <x:c r="A32" s="8" t="str">
        <x:v>Q25</x:v>
      </x:c>
      <x:c r="B32" s="8" t="str">
        <x:v>Q25-S02</x:v>
      </x:c>
      <x:c r="C32" s="8" t="str">
        <x:v>选择该摄像头添加为视频通道，预览并抓拍；核对画面来源与当前时间。</x:v>
      </x:c>
      <x:c r="D32" s="8" t="str">
        <x:v>通道建立成功，预览连续更新，抓拍来自当前 USB 画面，不复用旧图。</x:v>
      </x:c>
      <x:c r="E32" s="8" t="str">
        <x:v>通道 ID、预览时间和当前抓拍。</x:v>
      </x:c>
      <x:c r="F32" s="15" t="str"/>
      <x:c r="G32" s="15" t="str">
        <x:v>未执行</x:v>
      </x:c>
      <x:c r="H32" s="15" t="str"/>
      <x:c r="I32" s="15" t="str"/>
    </x:row>
    <x:row r="33" ht="44" customHeight="1">
      <x:c r="A33" s="3" t="str">
        <x:v>Q25</x:v>
      </x:c>
      <x:c r="B33" s="3" t="str">
        <x:v>Q25-S03</x:v>
      </x:c>
      <x:c r="C33" s="3" t="str">
        <x:v>绑定基础检测场景并启动任务，让目标进入画面；观察 30–60 秒。</x:v>
      </x:c>
      <x:c r="D33" s="3" t="str">
        <x:v>USB 实时画面持续解码并产生检测框或结构化目标结果；仅任务显示运行不算通过。</x:v>
      </x:c>
      <x:c r="E33" s="3" t="str">
        <x:v>算法画面、目标结果、任务 ID 和时间窗。</x:v>
      </x:c>
      <x:c r="F33" s="15" t="str"/>
      <x:c r="G33" s="15" t="str">
        <x:v>未执行</x:v>
      </x:c>
      <x:c r="H33" s="15" t="str"/>
      <x:c r="I33" s="15" t="str"/>
    </x:row>
    <x:row r="34" ht="44" customHeight="1">
      <x:c r="A34" s="8" t="str">
        <x:v>Q25</x:v>
      </x:c>
      <x:c r="B34" s="8" t="str">
        <x:v>Q25-S04</x:v>
      </x:c>
      <x:c r="C34" s="8" t="str">
        <x:v>停止任务并确认无新增结果，再启动并观察新结果；最后删除本轮任务和通道。</x:v>
      </x:c>
      <x:c r="D34" s="8" t="str">
        <x:v>停止与恢复符合预期，重新启动产生新时间戳结果；清理后不留重复通道或任务。</x:v>
      </x:c>
      <x:c r="E34" s="8" t="str">
        <x:v>启停时序、新结果及清理后列表。</x:v>
      </x:c>
      <x:c r="F34" s="15" t="str"/>
      <x:c r="G34" s="15" t="str">
        <x:v>未执行</x:v>
      </x:c>
      <x:c r="H34" s="15" t="str"/>
      <x:c r="I34" s="15" t="str"/>
    </x:row>
    <x:row r="35" ht="36" customHeight="1">
      <x:c r="A35" s="3" t="str">
        <x:v>Q09</x:v>
      </x:c>
      <x:c r="B35" s="3" t="str">
        <x:v>Q09-S01</x:v>
      </x:c>
      <x:c r="C35" s="3" t="str">
        <x:v>为测试通道添加场景任务，按通道/场景查询并读取详情。</x:v>
      </x:c>
      <x:c r="D35" s="3" t="str">
        <x:v>绑定到正确场景和源；详情参数与初始设置一致。</x:v>
      </x:c>
      <x:c r="E35" s="3" t="str">
        <x:v>任务ID、绑定关系及查询结果。</x:v>
      </x:c>
      <x:c r="F35" s="15" t="str"/>
      <x:c r="G35" s="15" t="str">
        <x:v>未执行</x:v>
      </x:c>
      <x:c r="H35" s="15" t="str"/>
      <x:c r="I35" s="15" t="str"/>
    </x:row>
    <x:row r="36" ht="36" customHeight="1">
      <x:c r="A36" s="8" t="str">
        <x:v>Q09</x:v>
      </x:c>
      <x:c r="B36" s="8" t="str">
        <x:v>Q09-S02</x:v>
      </x:c>
      <x:c r="C36" s="8" t="str">
        <x:v>启动，观察实际检测；停止后记录在途事件截止点，再重新启动。</x:v>
      </x:c>
      <x:c r="D36" s="8" t="str">
        <x:v>启停状态正确；停止后不持续产生新事件；重启后推理恢复。</x:v>
      </x:c>
      <x:c r="E36" s="8" t="str">
        <x:v>启停时间窗及前后结果。</x:v>
      </x:c>
      <x:c r="F36" s="15" t="str"/>
      <x:c r="G36" s="15" t="str">
        <x:v>未执行</x:v>
      </x:c>
      <x:c r="H36" s="15" t="str"/>
      <x:c r="I36" s="15" t="str"/>
    </x:row>
    <x:row r="37" ht="44" customHeight="1">
      <x:c r="A37" s="3" t="str">
        <x:v>Q09</x:v>
      </x:c>
      <x:c r="B37" s="3" t="str">
        <x:v>Q09-S03</x:v>
      </x:c>
      <x:c r="C37" s="3" t="str">
        <x:v>运行中修改1个可用业务参数，保存刷新并观察其结果；核对同场景另一任务。</x:v>
      </x:c>
      <x:c r="D37" s="3" t="str">
        <x:v>新值持久化并在结果中体现；另一任务参数未被隐式修改。</x:v>
      </x:c>
      <x:c r="E37" s="3" t="str">
        <x:v>参数前后值和另一任务的读回。</x:v>
      </x:c>
      <x:c r="F37" s="15" t="str"/>
      <x:c r="G37" s="15" t="str">
        <x:v>未执行</x:v>
      </x:c>
      <x:c r="H37" s="15" t="str"/>
      <x:c r="I37" s="15" t="str"/>
    </x:row>
    <x:row r="38" ht="36" customHeight="1">
      <x:c r="A38" s="8" t="str">
        <x:v>Q09</x:v>
      </x:c>
      <x:c r="B38" s="8" t="str">
        <x:v>Q09-S04</x:v>
      </x:c>
      <x:c r="C38" s="8" t="str">
        <x:v>删除此临时任务，刷新查询并检查原始视频源。</x:v>
      </x:c>
      <x:c r="D38" s="8" t="str">
        <x:v>任务消失且不再运行；源仍可预览；其他任务继续可用。</x:v>
      </x:c>
      <x:c r="E38" s="8" t="str">
        <x:v>删除、源预览和其他任务状态。</x:v>
      </x:c>
      <x:c r="F38" s="15" t="str"/>
      <x:c r="G38" s="15" t="str">
        <x:v>未执行</x:v>
      </x:c>
      <x:c r="H38" s="15" t="str"/>
      <x:c r="I38" s="15" t="str"/>
    </x:row>
    <x:row r="39" ht="36" customHeight="1">
      <x:c r="A39" s="3" t="str">
        <x:v>Q10</x:v>
      </x:c>
      <x:c r="B39" s="3" t="str">
        <x:v>Q10-S01</x:v>
      </x:c>
      <x:c r="C39" s="3" t="str">
        <x:v>绘制包含目标路径的ROI并保存，重开确认；回放固定片段。</x:v>
      </x:c>
      <x:c r="D39" s="3" t="str">
        <x:v>区域坐标持久化；区域内的目标可触发约定检测/事件。</x:v>
      </x:c>
      <x:c r="E39" s="3" t="str">
        <x:v>区域截图与对应结果。</x:v>
      </x:c>
      <x:c r="F39" s="15" t="str"/>
      <x:c r="G39" s="15" t="str">
        <x:v>未执行</x:v>
      </x:c>
      <x:c r="H39" s="15" t="str"/>
      <x:c r="I39" s="15" t="str"/>
    </x:row>
    <x:row r="40" ht="44" customHeight="1">
      <x:c r="A40" s="8" t="str">
        <x:v>Q10</x:v>
      </x:c>
      <x:c r="B40" s="8" t="str">
        <x:v>Q10-S02</x:v>
      </x:c>
      <x:c r="C40" s="8" t="str">
        <x:v>把ROI移到目标路径之外；调整一个有明确语义的阈值并再次回放。</x:v>
      </x:c>
      <x:c r="D40" s="8" t="str">
        <x:v>区域外事件被排除；阈值生效可由目标/事件变化或实际运行参数证实；只保存成功不足以判通过。</x:v>
      </x:c>
      <x:c r="E40" s="8" t="str">
        <x:v>固定输入、变更值和对照结果。</x:v>
      </x:c>
      <x:c r="F40" s="15" t="str"/>
      <x:c r="G40" s="15" t="str">
        <x:v>未执行</x:v>
      </x:c>
      <x:c r="H40" s="15" t="str"/>
      <x:c r="I40" s="15" t="str"/>
    </x:row>
    <x:row r="41" ht="44" customHeight="1">
      <x:c r="A41" s="3" t="str">
        <x:v>Q10</x:v>
      </x:c>
      <x:c r="B41" s="3" t="str">
        <x:v>Q10-S03</x:v>
      </x:c>
      <x:c r="C41" s="3" t="str">
        <x:v>创建并查询时间计划，先设当前时间无效，再编辑为当前有效；绑定测试任务。</x:v>
      </x:c>
      <x:c r="D41" s="3" t="str">
        <x:v>无效时段不出新业务结果；有效时段恢复；计划修改和查询一致，不需要等待跨天。</x:v>
      </x:c>
      <x:c r="E41" s="3" t="str">
        <x:v>设备时间、两段配置及观测窗口。</x:v>
      </x:c>
      <x:c r="F41" s="15" t="str"/>
      <x:c r="G41" s="15" t="str">
        <x:v>未执行</x:v>
      </x:c>
      <x:c r="H41" s="15" t="str"/>
      <x:c r="I41" s="15" t="str"/>
    </x:row>
    <x:row r="42" ht="36" customHeight="1">
      <x:c r="A42" s="8" t="str">
        <x:v>Q10</x:v>
      </x:c>
      <x:c r="B42" s="8" t="str">
        <x:v>Q10-S04</x:v>
      </x:c>
      <x:c r="C42" s="8" t="str">
        <x:v>恢复原参数；解绑并删除时间计划；重新读回场景默认值。</x:v>
      </x:c>
      <x:c r="D42" s="8" t="str">
        <x:v>原参数恢复；测试计划删除；任务级操作未污染场景默认值。</x:v>
      </x:c>
      <x:c r="E42" s="8" t="str">
        <x:v>恢复、删除及默认值读回。</x:v>
      </x:c>
      <x:c r="F42" s="15" t="str"/>
      <x:c r="G42" s="15" t="str">
        <x:v>未执行</x:v>
      </x:c>
      <x:c r="H42" s="15" t="str"/>
      <x:c r="I42" s="15" t="str"/>
    </x:row>
    <x:row r="43" ht="44" customHeight="1">
      <x:c r="A43" s="3" t="str">
        <x:v>Q11</x:v>
      </x:c>
      <x:c r="B43" s="3" t="str">
        <x:v>Q11-S01</x:v>
      </x:c>
      <x:c r="C43" s="3" t="str">
        <x:v>新增人脸分组；修改名称并搜索；删除一个空的临时分组验证删除入口。</x:v>
      </x:c>
      <x:c r="D43" s="3" t="str">
        <x:v>分组新增、编辑、查询及空组删除生效。</x:v>
      </x:c>
      <x:c r="E43" s="3" t="str">
        <x:v>分组ID及操作前后列表。</x:v>
      </x:c>
      <x:c r="F43" s="15" t="str"/>
      <x:c r="G43" s="15" t="str">
        <x:v>未执行</x:v>
      </x:c>
      <x:c r="H43" s="15" t="str"/>
      <x:c r="I43" s="15" t="str"/>
    </x:row>
    <x:row r="44" ht="44" customHeight="1">
      <x:c r="A44" s="8" t="str">
        <x:v>Q11</x:v>
      </x:c>
      <x:c r="B44" s="8" t="str">
        <x:v>Q11-S02</x:v>
      </x:c>
      <x:c r="C44" s="8" t="str">
        <x:v>单图新增1名人员，再用3–5张小ZIP批量导入；等待后台完成。</x:v>
      </x:c>
      <x:c r="D44" s="8" t="str">
        <x:v>成功/失败人数清楚；成功人员可查询且有有效图片/特征状态；不能把提交任务成功当作全部入库。</x:v>
      </x:c>
      <x:c r="E44" s="8" t="str">
        <x:v>导入任务终态和逐人状态。</x:v>
      </x:c>
      <x:c r="F44" s="15" t="str"/>
      <x:c r="G44" s="15" t="str">
        <x:v>未执行</x:v>
      </x:c>
      <x:c r="H44" s="15" t="str"/>
      <x:c r="I44" s="15" t="str"/>
    </x:row>
    <x:row r="45" ht="36" customHeight="1">
      <x:c r="A45" s="3" t="str">
        <x:v>Q11</x:v>
      </x:c>
      <x:c r="B45" s="3" t="str">
        <x:v>Q11-S03</x:v>
      </x:c>
      <x:c r="C45" s="3" t="str">
        <x:v>编辑1名测试人员名称/编号并搜索；删除1名测试人员，刷新检查。</x:v>
      </x:c>
      <x:c r="D45" s="3" t="str">
        <x:v>编辑持久化、搜索准确、删除后不可再查；保留后续识别所需人员。</x:v>
      </x:c>
      <x:c r="E45" s="3" t="str">
        <x:v>人员字段读回及删除结果。</x:v>
      </x:c>
      <x:c r="F45" s="15" t="str"/>
      <x:c r="G45" s="15" t="str">
        <x:v>未执行</x:v>
      </x:c>
      <x:c r="H45" s="15" t="str"/>
      <x:c r="I45" s="15" t="str"/>
    </x:row>
    <x:row r="46" ht="44" customHeight="1">
      <x:c r="A46" s="8" t="str">
        <x:v>Q11</x:v>
      </x:c>
      <x:c r="B46" s="8" t="str">
        <x:v>Q11-S04</x:v>
      </x:c>
      <x:c r="C46" s="8" t="str">
        <x:v>选择保留人员的原入库图，准备 Q15 同图识别；完成后 Q24 删除剩余人员和分组。</x:v>
      </x:c>
      <x:c r="D46" s="8" t="str">
        <x:v>样本与人员ID可对应；最终残留为零，Q24 未完成时本例不记完整通过。</x:v>
      </x:c>
      <x:c r="E46" s="8" t="str">
        <x:v>人员样本映射和最终清理证据。</x:v>
      </x:c>
      <x:c r="F46" s="15" t="str"/>
      <x:c r="G46" s="15" t="str">
        <x:v>未执行</x:v>
      </x:c>
      <x:c r="H46" s="15" t="str"/>
      <x:c r="I46" s="15" t="str"/>
    </x:row>
    <x:row r="47" ht="36" customHeight="1">
      <x:c r="A47" s="3" t="str">
        <x:v>Q12</x:v>
      </x:c>
      <x:c r="B47" s="3" t="str">
        <x:v>Q12-S01</x:v>
      </x:c>
      <x:c r="C47" s="3" t="str">
        <x:v>创建人脸识别任务，绑定 Q11 分组并保存刷新。</x:v>
      </x:c>
      <x:c r="D47" s="3" t="str">
        <x:v>模型和分组加载成功；绑定的分组ID正确，不误选其他底库。</x:v>
      </x:c>
      <x:c r="E47" s="3" t="str">
        <x:v>任务及底库绑定关系。</x:v>
      </x:c>
      <x:c r="F47" s="15" t="str"/>
      <x:c r="G47" s="15" t="str">
        <x:v>未执行</x:v>
      </x:c>
      <x:c r="H47" s="15" t="str"/>
      <x:c r="I47" s="15" t="str"/>
    </x:row>
    <x:row r="48" ht="44" customHeight="1">
      <x:c r="A48" s="8" t="str">
        <x:v>Q12</x:v>
      </x:c>
      <x:c r="B48" s="8" t="str">
        <x:v>Q12-S02</x:v>
      </x:c>
      <x:c r="C48" s="8" t="str">
        <x:v>播放含清晰人脸的片段，观察抓拍、特征提取和比对输出。</x:v>
      </x:c>
      <x:c r="D48" s="8" t="str">
        <x:v>至少获得一条真实的人脸比对返回；区分命中、未命中与处理错误。只有抓拍没有比对返回不算完成。</x:v>
      </x:c>
      <x:c r="E48" s="8" t="str">
        <x:v>带时间的人脸结果及比对字段。</x:v>
      </x:c>
      <x:c r="F48" s="15" t="str"/>
      <x:c r="G48" s="15" t="str">
        <x:v>未执行</x:v>
      </x:c>
      <x:c r="H48" s="15" t="str"/>
      <x:c r="I48" s="15" t="str"/>
    </x:row>
    <x:row r="49" ht="44" customHeight="1">
      <x:c r="A49" s="3" t="str">
        <x:v>Q12</x:v>
      </x:c>
      <x:c r="B49" s="3" t="str">
        <x:v>Q12-S03</x:v>
      </x:c>
      <x:c r="C49" s="3" t="str">
        <x:v>在事件/抓拍页面查看同一结果，核对通道、分组及时间。</x:v>
      </x:c>
      <x:c r="D49" s="3" t="str">
        <x:v>显示与算法返回一致；未标注视频不据此计算正确率；识别链路错误明确失败。</x:v>
      </x:c>
      <x:c r="E49" s="3" t="str">
        <x:v>跨页面一致性证据；精度未验收说明。</x:v>
      </x:c>
      <x:c r="F49" s="15" t="str"/>
      <x:c r="G49" s="15" t="str">
        <x:v>未执行</x:v>
      </x:c>
      <x:c r="H49" s="15" t="str"/>
      <x:c r="I49" s="15" t="str"/>
    </x:row>
    <x:row r="50" ht="44" customHeight="1">
      <x:c r="A50" s="8" t="str">
        <x:v>Q13</x:v>
      </x:c>
      <x:c r="B50" s="8" t="str">
        <x:v>Q13-S01</x:v>
      </x:c>
      <x:c r="C50" s="8" t="str">
        <x:v>新增工服分组，修改名称并查询；上传指定工服图，选择有效人体区域完成入库。</x:v>
      </x:c>
      <x:c r="D50" s="8" t="str">
        <x:v>分组编辑可回读；图片检测、特征提取、保存完成，底库有有效样本。</x:v>
      </x:c>
      <x:c r="E50" s="8" t="str">
        <x:v>分组ID、入库目标和样本状态。</x:v>
      </x:c>
      <x:c r="F50" s="15" t="str"/>
      <x:c r="G50" s="15" t="str">
        <x:v>未执行</x:v>
      </x:c>
      <x:c r="H50" s="15" t="str"/>
      <x:c r="I50" s="15" t="str"/>
    </x:row>
    <x:row r="51" ht="44" customHeight="1">
      <x:c r="A51" s="3" t="str">
        <x:v>Q13</x:v>
      </x:c>
      <x:c r="B51" s="3" t="str">
        <x:v>Q13-S02</x:v>
      </x:c>
      <x:c r="C51" s="3" t="str">
        <x:v>再建一个可删除样本/空分组，执行删除并刷新；编辑保留样本的可编辑信息。</x:v>
      </x:c>
      <x:c r="D51" s="3" t="str">
        <x:v>可编辑字段持久化；被删对象不再出现；保留样本有效。</x:v>
      </x:c>
      <x:c r="E51" s="3" t="str">
        <x:v>编辑及删除前后状态。</x:v>
      </x:c>
      <x:c r="F51" s="15" t="str"/>
      <x:c r="G51" s="15" t="str">
        <x:v>未执行</x:v>
      </x:c>
      <x:c r="H51" s="15" t="str"/>
      <x:c r="I51" s="15" t="str"/>
    </x:row>
    <x:row r="52" ht="44" customHeight="1">
      <x:c r="A52" s="8" t="str">
        <x:v>Q13</x:v>
      </x:c>
      <x:c r="B52" s="8" t="str">
        <x:v>Q13-S03</x:v>
      </x:c>
      <x:c r="C52" s="8" t="str">
        <x:v>绑定保留工服库运行短视频，查看工服比对和未穿工服业务结果。</x:v>
      </x:c>
      <x:c r="D52" s="8" t="str">
        <x:v>发生真实比对且返回内容可追溯；明确相似度/命中与业务告警的含义，不能只有人体检测框。</x:v>
      </x:c>
      <x:c r="E52" s="8" t="str">
        <x:v>任务绑定、比对返回和业务结果。</x:v>
      </x:c>
      <x:c r="F52" s="15" t="str"/>
      <x:c r="G52" s="15" t="str">
        <x:v>未执行</x:v>
      </x:c>
      <x:c r="H52" s="15" t="str"/>
      <x:c r="I52" s="15" t="str"/>
    </x:row>
    <x:row r="53" ht="36" customHeight="1">
      <x:c r="A53" s="3" t="str">
        <x:v>Q13</x:v>
      </x:c>
      <x:c r="B53" s="3" t="str">
        <x:v>Q13-S04</x:v>
      </x:c>
      <x:c r="C53" s="3" t="str">
        <x:v>准备同图样本供图片比对；后续在 Q24 解除引用并删掉剩余分组。</x:v>
      </x:c>
      <x:c r="D53" s="3" t="str">
        <x:v>同图链路可复核；最终清理完成前本例保留部分完成。</x:v>
      </x:c>
      <x:c r="E53" s="3" t="str">
        <x:v>样本关系及最终删除证据。</x:v>
      </x:c>
      <x:c r="F53" s="15" t="str"/>
      <x:c r="G53" s="15" t="str">
        <x:v>未执行</x:v>
      </x:c>
      <x:c r="H53" s="15" t="str"/>
      <x:c r="I53" s="15" t="str"/>
    </x:row>
    <x:row r="54" ht="36" customHeight="1">
      <x:c r="A54" s="8" t="str">
        <x:v>Q14</x:v>
      </x:c>
      <x:c r="B54" s="8" t="str">
        <x:v>Q14-S01</x:v>
      </x:c>
      <x:c r="C54" s="8" t="str">
        <x:v>选择图片场景，上传1张图片并提交分析。</x:v>
      </x:c>
      <x:c r="D54" s="8" t="str">
        <x:v>场景可选；输出目标/业务结果与当前图片对应；结果未沿用旧图片。</x:v>
      </x:c>
      <x:c r="E54" s="8" t="str">
        <x:v>输入哈希、场景ID、结果和标注图。</x:v>
      </x:c>
      <x:c r="F54" s="15" t="str"/>
      <x:c r="G54" s="15" t="str">
        <x:v>未执行</x:v>
      </x:c>
      <x:c r="H54" s="15" t="str"/>
      <x:c r="I54" s="15" t="str"/>
    </x:row>
    <x:row r="55" ht="36" customHeight="1">
      <x:c r="A55" s="3" t="str">
        <x:v>Q14</x:v>
      </x:c>
      <x:c r="B55" s="3" t="str">
        <x:v>Q14-S02</x:v>
      </x:c>
      <x:c r="C55" s="3" t="str">
        <x:v>更换图片，再一次加入2张做批量分析；逐张打开结果。</x:v>
      </x:c>
      <x:c r="D55" s="3" t="str">
        <x:v>替换后旧图结果清除；批量每张有独立结果或明确失败原因，不串图。</x:v>
      </x:c>
      <x:c r="E55" s="3" t="str">
        <x:v>两张输入与逐项结果。</x:v>
      </x:c>
      <x:c r="F55" s="15" t="str"/>
      <x:c r="G55" s="15" t="str">
        <x:v>未执行</x:v>
      </x:c>
      <x:c r="H55" s="15" t="str"/>
      <x:c r="I55" s="15" t="str"/>
    </x:row>
    <x:row r="56" ht="44" customHeight="1">
      <x:c r="A56" s="8" t="str">
        <x:v>Q14</x:v>
      </x:c>
      <x:c r="B56" s="8" t="str">
        <x:v>Q14-S03</x:v>
      </x:c>
      <x:c r="C56" s="8" t="str">
        <x:v>修改1个临时分析参数并提交；刷新或新开同场景，检查默认值。</x:v>
      </x:c>
      <x:c r="D56" s="8" t="str">
        <x:v>临时值参与本次分析；场景/任务默认值未被永久改写；再次分析可用。</x:v>
      </x:c>
      <x:c r="E56" s="8" t="str">
        <x:v>临时请求、默认值和再次分析结果。</x:v>
      </x:c>
      <x:c r="F56" s="15" t="str"/>
      <x:c r="G56" s="15" t="str">
        <x:v>未执行</x:v>
      </x:c>
      <x:c r="H56" s="15" t="str"/>
      <x:c r="I56" s="15" t="str"/>
    </x:row>
    <x:row r="57" ht="44" customHeight="1">
      <x:c r="A57" s="3" t="str">
        <x:v>Q15</x:v>
      </x:c>
      <x:c r="B57" s="3" t="str">
        <x:v>Q15-S01</x:v>
      </x:c>
      <x:c r="C57" s="3" t="str">
        <x:v>选择图片人脸比对场景和Q11底库，上传对应原图执行分析。</x:v>
      </x:c>
      <x:c r="D57" s="3" t="str">
        <x:v>返回可核对的测试人员、分组、比对分值/结果及参考图；不只返回检测框。</x:v>
      </x:c>
      <x:c r="E57" s="3" t="str">
        <x:v>人员/分组对应关系和原始返回。</x:v>
      </x:c>
      <x:c r="F57" s="15" t="str"/>
      <x:c r="G57" s="15" t="str">
        <x:v>未执行</x:v>
      </x:c>
      <x:c r="H57" s="15" t="str"/>
      <x:c r="I57" s="15" t="str"/>
    </x:row>
    <x:row r="58" ht="36" customHeight="1">
      <x:c r="A58" s="8" t="str">
        <x:v>Q15</x:v>
      </x:c>
      <x:c r="B58" s="8" t="str">
        <x:v>Q15-S02</x:v>
      </x:c>
      <x:c r="C58" s="8" t="str">
        <x:v>选择图片工服比对场景和Q13底库，上传对应原图分析。</x:v>
      </x:c>
      <x:c r="D58" s="8" t="str">
        <x:v>返回关联的工服样本、分组和比对信息；页面正确展示命中详情。</x:v>
      </x:c>
      <x:c r="E58" s="8" t="str">
        <x:v>工服样本、分组及详情。</x:v>
      </x:c>
      <x:c r="F58" s="15" t="str"/>
      <x:c r="G58" s="15" t="str">
        <x:v>未执行</x:v>
      </x:c>
      <x:c r="H58" s="15" t="str"/>
      <x:c r="I58" s="15" t="str"/>
    </x:row>
    <x:row r="59" ht="44" customHeight="1">
      <x:c r="A59" s="3" t="str">
        <x:v>Q15</x:v>
      </x:c>
      <x:c r="B59" s="3" t="str">
        <x:v>Q15-S03</x:v>
      </x:c>
      <x:c r="C59" s="3" t="str">
        <x:v>对其中一类改用空测试组或不含有效目标的图片再提交，然后恢复有效输入。</x:v>
      </x:c>
      <x:c r="D59" s="3" t="str">
        <x:v>未命中、无有效目标、处理错误有明确区分；不沿用上一次成功结果；恢复后正常。</x:v>
      </x:c>
      <x:c r="E59" s="3" t="str">
        <x:v>异常和恢复的两次结果。</x:v>
      </x:c>
      <x:c r="F59" s="15" t="str"/>
      <x:c r="G59" s="15" t="str">
        <x:v>未执行</x:v>
      </x:c>
      <x:c r="H59" s="15" t="str"/>
      <x:c r="I59" s="15" t="str"/>
    </x:row>
    <x:row r="60" ht="36" customHeight="1">
      <x:c r="A60" s="8" t="str">
        <x:v>Q16</x:v>
      </x:c>
      <x:c r="B60" s="8" t="str">
        <x:v>Q16-S01</x:v>
      </x:c>
      <x:c r="C60" s="8" t="str">
        <x:v>选择双图人脸场景，为A/B两侧放入同一张有效脸图，执行比对。</x:v>
      </x:c>
      <x:c r="D60" s="8" t="str">
        <x:v>结果包含双侧目标对应及比对返回；两侧图片和结果归属清楚。</x:v>
      </x:c>
      <x:c r="E60" s="8" t="str">
        <x:v>双侧输入哈希和人脸比对结果。</x:v>
      </x:c>
      <x:c r="F60" s="15" t="str"/>
      <x:c r="G60" s="15" t="str">
        <x:v>未执行</x:v>
      </x:c>
      <x:c r="H60" s="15" t="str"/>
      <x:c r="I60" s="15" t="str"/>
    </x:row>
    <x:row r="61" ht="36" customHeight="1">
      <x:c r="A61" s="3" t="str">
        <x:v>Q16</x:v>
      </x:c>
      <x:c r="B61" s="3" t="str">
        <x:v>Q16-S02</x:v>
      </x:c>
      <x:c r="C61" s="3" t="str">
        <x:v>用工服图对执行双图工服比对。</x:v>
      </x:c>
      <x:c r="D61" s="3" t="str">
        <x:v>工服比对完成并显示明确结果；不得用人脸场景结果代替。</x:v>
      </x:c>
      <x:c r="E61" s="3" t="str">
        <x:v>工服双图返回。</x:v>
      </x:c>
      <x:c r="F61" s="15" t="str"/>
      <x:c r="G61" s="15" t="str">
        <x:v>未执行</x:v>
      </x:c>
      <x:c r="H61" s="15" t="str"/>
      <x:c r="I61" s="15" t="str"/>
    </x:row>
    <x:row r="62" ht="44" customHeight="1">
      <x:c r="A62" s="8" t="str">
        <x:v>Q16</x:v>
      </x:c>
      <x:c r="B62" s="8" t="str">
        <x:v>Q16-S03</x:v>
      </x:c>
      <x:c r="C62" s="8" t="str">
        <x:v>清掉其中一侧后提交，再补回并重试。</x:v>
      </x:c>
      <x:c r="D62" s="8" t="str">
        <x:v>缺侧输入被阻止或返回明确缺侧原因；不沿用旧成功状态；补齐后恢复。</x:v>
      </x:c>
      <x:c r="E62" s="8" t="str">
        <x:v>缺侧提示和恢复结果。</x:v>
      </x:c>
      <x:c r="F62" s="15" t="str"/>
      <x:c r="G62" s="15" t="str">
        <x:v>未执行</x:v>
      </x:c>
      <x:c r="H62" s="15" t="str"/>
      <x:c r="I62" s="15" t="str"/>
    </x:row>
    <x:row r="63" ht="44" customHeight="1">
      <x:c r="A63" s="3" t="str">
        <x:v>Q26</x:v>
      </x:c>
      <x:c r="B63" s="3" t="str">
        <x:v>Q26-S01</x:v>
      </x:c>
      <x:c r="C63" s="3" t="str">
        <x:v>在模型仓库核对 VLM 模型的芯片、版本、配套文件和加载状态；没有可运行模型时写明缺口及受阻步骤。</x:v>
      </x:c>
      <x:c r="D63" s="3" t="str">
        <x:v>只有在模型可选择且能完成初始化后才继续；文件存在或模板可见不算模型可用。</x:v>
      </x:c>
      <x:c r="E63" s="3" t="str">
        <x:v>模型详情、配套文件清单、设备加载结果。</x:v>
      </x:c>
      <x:c r="F63" s="15" t="str"/>
      <x:c r="G63" s="15" t="str">
        <x:v>未执行</x:v>
      </x:c>
      <x:c r="H63" s="15" t="str"/>
      <x:c r="I63" s="15" t="str"/>
    </x:row>
    <x:row r="64" ht="61" customHeight="1">
      <x:c r="A64" s="8" t="str">
        <x:v>Q26</x:v>
      </x:c>
      <x:c r="B64" s="8" t="str">
        <x:v>Q26-S02</x:v>
      </x:c>
      <x:c r="C64" s="8" t="str">
        <x:v>创建图片 VLM 任务，开启高级提示词模式，设置单一问题“画面中是否有清晰可见的行人”；用固定正图与负图分别分析。</x:v>
      </x:c>
      <x:c r="D64" s="8" t="str">
        <x:v>两次请求均结束并返回与当前图片对应的明确是/否结果及耗时；若判断与人工可见事实不符，记录为失败或待分析，不能只因有返回判通过。</x:v>
      </x:c>
      <x:c r="E64" s="8" t="str">
        <x:v>两张输入哈希、提示词/模式、原始结果及耗时。</x:v>
      </x:c>
      <x:c r="F64" s="15" t="str"/>
      <x:c r="G64" s="15" t="str">
        <x:v>未执行</x:v>
      </x:c>
      <x:c r="H64" s="15" t="str"/>
      <x:c r="I64" s="15" t="str"/>
    </x:row>
    <x:row r="65" ht="44" customHeight="1">
      <x:c r="A65" s="3" t="str">
        <x:v>Q26</x:v>
      </x:c>
      <x:c r="B65" s="3" t="str">
        <x:v>Q26-S03</x:v>
      </x:c>
      <x:c r="C65" s="3" t="str">
        <x:v>用同一模型与提示词创建视频 VLM 任务，绑定 Q08 视频并设低频取帧；至少观察两次已完成推理和一条符合规则的新事件。</x:v>
      </x:c>
      <x:c r="D65" s="3" t="str">
        <x:v>推理持续完成，无反复初始化或持续超时；判断、抓拍、视频帧时间、事件 ID 相互对应；VLM 无检测框属于正常输出形态。</x:v>
      </x:c>
      <x:c r="E65" s="3" t="str">
        <x:v>取帧频率、完成时间、判断、抓拍和事件详情。</x:v>
      </x:c>
      <x:c r="F65" s="15" t="str"/>
      <x:c r="G65" s="15" t="str">
        <x:v>未执行</x:v>
      </x:c>
      <x:c r="H65" s="15" t="str"/>
      <x:c r="I65" s="15" t="str"/>
    </x:row>
    <x:row r="66" ht="44" customHeight="1">
      <x:c r="A66" s="8" t="str">
        <x:v>Q26</x:v>
      </x:c>
      <x:c r="B66" s="8" t="str">
        <x:v>Q26-S04</x:v>
      </x:c>
      <x:c r="C66" s="8" t="str">
        <x:v>修改一项提示词或取帧参数并保存刷新，用同一固定输入复测；最后停止并清理本轮任务/场景。</x:v>
      </x:c>
      <x:c r="D66" s="8" t="str">
        <x:v>读回为新值，后续结果标明当前配置且非上一次缓存；清理后原业务不受影响。</x:v>
      </x:c>
      <x:c r="E66" s="8" t="str">
        <x:v>修改前后配置、复测结果和清理清单。</x:v>
      </x:c>
      <x:c r="F66" s="15" t="str"/>
      <x:c r="G66" s="15" t="str">
        <x:v>未执行</x:v>
      </x:c>
      <x:c r="H66" s="15" t="str"/>
      <x:c r="I66" s="15" t="str"/>
    </x:row>
    <x:row r="67" ht="44" customHeight="1">
      <x:c r="A67" s="3" t="str">
        <x:v>Q27</x:v>
      </x:c>
      <x:c r="B67" s="3" t="str">
        <x:v>Q27-S01</x:v>
      </x:c>
      <x:c r="C67" s="3" t="str">
        <x:v>在模型仓库核对 DINO 模型的芯片、包元信息、词表与加载状态，选择或导入一个兼容模型。</x:v>
      </x:c>
      <x:c r="D67" s="3" t="str">
        <x:v>模型可选择、加载并绑定到检测视觉大模型节点；仅有原始 bmodel 或模板不算就绪。</x:v>
      </x:c>
      <x:c r="E67" s="3" t="str">
        <x:v>候选包校验值、模型详情及加载结果。</x:v>
      </x:c>
      <x:c r="F67" s="15" t="str"/>
      <x:c r="G67" s="15" t="str">
        <x:v>未执行</x:v>
      </x:c>
      <x:c r="H67" s="15" t="str"/>
      <x:c r="I67" s="15" t="str"/>
    </x:row>
    <x:row r="68" ht="44" customHeight="1">
      <x:c r="A68" s="8" t="str">
        <x:v>Q27</x:v>
      </x:c>
      <x:c r="B68" s="8" t="str">
        <x:v>Q27-S02</x:v>
      </x:c>
      <x:c r="C68" s="8" t="str">
        <x:v>创建图片 DINO 场景，以 person 为目标词分析固定正图和负图，分别查看标注图与结构化结果。</x:v>
      </x:c>
      <x:c r="D68" s="8" t="str">
        <x:v>正图的行人位置有对应 person 框、类别和分数；负图不得沿用旧框；误框如实记录，不把返回非空当作通过。</x:v>
      </x:c>
      <x:c r="E68" s="8" t="str">
        <x:v>输入哈希、目标词、两张标注图和原始结果。</x:v>
      </x:c>
      <x:c r="F68" s="15" t="str"/>
      <x:c r="G68" s="15" t="str">
        <x:v>未执行</x:v>
      </x:c>
      <x:c r="H68" s="15" t="str"/>
      <x:c r="I68" s="15" t="str"/>
    </x:row>
    <x:row r="69" ht="44" customHeight="1">
      <x:c r="A69" s="3" t="str">
        <x:v>Q27</x:v>
      </x:c>
      <x:c r="B69" s="3" t="str">
        <x:v>Q27-S03</x:v>
      </x:c>
      <x:c r="C69" s="3" t="str">
        <x:v>创建视频 DINO 任务，绑定 Q08 视频和有效区域，观察新帧检测与至少一条符合条件的事件。</x:v>
      </x:c>
      <x:c r="D69" s="3" t="str">
        <x:v>推理持续完成；person 框与可见目标位置及当前帧相符；事件归属、时间和抓拍与任务一致。</x:v>
      </x:c>
      <x:c r="E69" s="3" t="str">
        <x:v>任务配置、帧时间、检测框、事件 ID 和抓拍。</x:v>
      </x:c>
      <x:c r="F69" s="15" t="str"/>
      <x:c r="G69" s="15" t="str">
        <x:v>未执行</x:v>
      </x:c>
      <x:c r="H69" s="15" t="str"/>
      <x:c r="I69" s="15" t="str"/>
    </x:row>
    <x:row r="70" ht="44" customHeight="1">
      <x:c r="A70" s="8" t="str">
        <x:v>Q27</x:v>
      </x:c>
      <x:c r="B70" s="8" t="str">
        <x:v>Q27-S04</x:v>
      </x:c>
      <x:c r="C70" s="8" t="str">
        <x:v>修改目标置信度或目标词，保存刷新并用固定输入复测；再恢复设置并清理测试对象。</x:v>
      </x:c>
      <x:c r="D70" s="8" t="str">
        <x:v>实际运行参数与读回一致，结果来自本次输入；恢复后原任务和模型不受影响。</x:v>
      </x:c>
      <x:c r="E70" s="8" t="str">
        <x:v>参数前后值、复测结果、恢复与清理记录。</x:v>
      </x:c>
      <x:c r="F70" s="15" t="str"/>
      <x:c r="G70" s="15" t="str">
        <x:v>未执行</x:v>
      </x:c>
      <x:c r="H70" s="15" t="str"/>
      <x:c r="I70" s="15" t="str"/>
    </x:row>
    <x:row r="71" ht="44" customHeight="1">
      <x:c r="A71" s="3" t="str">
        <x:v>Q17</x:v>
      </x:c>
      <x:c r="B71" s="3" t="str">
        <x:v>Q17-S01</x:v>
      </x:c>
      <x:c r="C71" s="3" t="str">
        <x:v>按本轮时间、通道和场景组合筛选，翻页后点重置。</x:v>
      </x:c>
      <x:c r="D71" s="3" t="str">
        <x:v>筛选结果属于指定对象；重置后控件和查询结果同步恢复；操作不误跳实时大屏。</x:v>
      </x:c>
      <x:c r="E71" s="3" t="str">
        <x:v>筛选条件、事件ID及重置前后画面。</x:v>
      </x:c>
      <x:c r="F71" s="15" t="str"/>
      <x:c r="G71" s="15" t="str">
        <x:v>未执行</x:v>
      </x:c>
      <x:c r="H71" s="15" t="str"/>
      <x:c r="I71" s="15" t="str"/>
    </x:row>
    <x:row r="72" ht="36" customHeight="1">
      <x:c r="A72" s="8" t="str">
        <x:v>Q17</x:v>
      </x:c>
      <x:c r="B72" s="8" t="str">
        <x:v>Q17-S02</x:v>
      </x:c>
      <x:c r="C72" s="8" t="str">
        <x:v>打开1条本轮告警详情，再查看1条本轮人脸抓拍/识别结果。</x:v>
      </x:c>
      <x:c r="D72" s="8" t="str">
        <x:v>通道、场景、时间、目标或人员字段与来源一致；详情能打开。</x:v>
      </x:c>
      <x:c r="E72" s="8" t="str">
        <x:v>两类详情与来源记录。</x:v>
      </x:c>
      <x:c r="F72" s="15" t="str"/>
      <x:c r="G72" s="15" t="str">
        <x:v>未执行</x:v>
      </x:c>
      <x:c r="H72" s="15" t="str"/>
      <x:c r="I72" s="15" t="str"/>
    </x:row>
    <x:row r="73" ht="44" customHeight="1">
      <x:c r="A73" s="3" t="str">
        <x:v>Q17</x:v>
      </x:c>
      <x:c r="B73" s="3" t="str">
        <x:v>Q17-S03</x:v>
      </x:c>
      <x:c r="C73" s="3" t="str">
        <x:v>下载该告警图片；若当前场景启用告警录像，播放并下载短录像。</x:v>
      </x:c>
      <x:c r="D73" s="3" t="str">
        <x:v>文件非空可打开；录像属于对应时间窗。未开启录像时仅该子检查记不适用并说明。</x:v>
      </x:c>
      <x:c r="E73" s="3" t="str">
        <x:v>下载文件哈希和打开/播放证据。</x:v>
      </x:c>
      <x:c r="F73" s="15" t="str"/>
      <x:c r="G73" s="15" t="str">
        <x:v>未执行</x:v>
      </x:c>
      <x:c r="H73" s="15" t="str"/>
      <x:c r="I73" s="15" t="str"/>
    </x:row>
    <x:row r="74" ht="36" customHeight="1">
      <x:c r="A74" s="8" t="str">
        <x:v>Q17</x:v>
      </x:c>
      <x:c r="B74" s="8" t="str">
        <x:v>Q17-S04</x:v>
      </x:c>
      <x:c r="C74" s="8" t="str">
        <x:v>导出当前小范围筛选结果，打开导出文件核对至少1条及总数。</x:v>
      </x:c>
      <x:c r="D74" s="8" t="str">
        <x:v>导出字段、中文、时间和筛选范围正确；不能仅检查下载请求成功。</x:v>
      </x:c>
      <x:c r="E74" s="8" t="str">
        <x:v>导出文件与筛选记录比对。</x:v>
      </x:c>
      <x:c r="F74" s="15" t="str"/>
      <x:c r="G74" s="15" t="str">
        <x:v>未执行</x:v>
      </x:c>
      <x:c r="H74" s="15" t="str"/>
      <x:c r="I74" s="15" t="str"/>
    </x:row>
    <x:row r="75" ht="44" customHeight="1">
      <x:c r="A75" s="3" t="str">
        <x:v>Q28</x:v>
      </x:c>
      <x:c r="B75" s="3" t="str">
        <x:v>Q28-S01</x:v>
      </x:c>
      <x:c r="C75" s="3" t="str">
        <x:v>进入实时告警大屏，先用单窗打开一路，再切四窗并在两个窗口分别选不同测试通道。</x:v>
      </x:c>
      <x:c r="D75" s="3" t="str">
        <x:v>每窗显示对应通道名称和持续更新的当前画面；空窗明确显示无信号，不把旧通道帧当新通道成功。</x:v>
      </x:c>
      <x:c r="E75" s="3" t="str">
        <x:v>单窗/四窗画面、通道映射和带时间抓拍。</x:v>
      </x:c>
      <x:c r="F75" s="15" t="str"/>
      <x:c r="G75" s="15" t="str">
        <x:v>未执行</x:v>
      </x:c>
      <x:c r="H75" s="15" t="str"/>
      <x:c r="I75" s="15" t="str"/>
    </x:row>
    <x:row r="76" ht="44" customHeight="1">
      <x:c r="A76" s="8" t="str">
        <x:v>Q28</x:v>
      </x:c>
      <x:c r="B76" s="8" t="str">
        <x:v>Q28-S02</x:v>
      </x:c>
      <x:c r="C76" s="8" t="str">
        <x:v>在第一窗口选择“无”叠加，再选择该通道已运行的检测算法；同时核对原始画面与算法画面。</x:v>
      </x:c>
      <x:c r="D76" s="8" t="str">
        <x:v>无叠加时不残留旧框；选择后出现当前目标的框/标签，位置和时间与实际结果相符；任务未运行时不伪造可选算法。</x:v>
      </x:c>
      <x:c r="E76" s="8" t="str">
        <x:v>叠加前后画面、任务ID及对应原始元数据。</x:v>
      </x:c>
      <x:c r="F76" s="15" t="str"/>
      <x:c r="G76" s="15" t="str">
        <x:v>未执行</x:v>
      </x:c>
      <x:c r="H76" s="15" t="str"/>
      <x:c r="I76" s="15" t="str"/>
    </x:row>
    <x:row r="77" ht="44" customHeight="1">
      <x:c r="A77" s="3" t="str">
        <x:v>Q28</x:v>
      </x:c>
      <x:c r="B77" s="3" t="str">
        <x:v>Q28-S03</x:v>
      </x:c>
      <x:c r="C77" s="3" t="str">
        <x:v>在第二窗口选择其运行算法，并切换窗口焦点、通道或算法叠加选项。</x:v>
      </x:c>
      <x:c r="D77" s="3" t="str">
        <x:v>各窗口叠加归属各自通道和任务；切换后旧框、旧标签和旧时间不串到新通道；区域/轨迹如该任务支持，也与实际元数据一致。</x:v>
      </x:c>
      <x:c r="E77" s="3" t="str">
        <x:v>两窗并列截图、算法选项及切换前后结果。</x:v>
      </x:c>
      <x:c r="F77" s="15" t="str"/>
      <x:c r="G77" s="15" t="str">
        <x:v>未执行</x:v>
      </x:c>
      <x:c r="H77" s="15" t="str"/>
      <x:c r="I77" s="15" t="str"/>
    </x:row>
    <x:row r="78" ht="44" customHeight="1">
      <x:c r="A78" s="8" t="str">
        <x:v>Q28</x:v>
      </x:c>
      <x:c r="B78" s="8" t="str">
        <x:v>Q28-S04</x:v>
      </x:c>
      <x:c r="C78" s="8" t="str">
        <x:v>切换单窗/四窗、窗口放大/退出和页面全屏/退出；保持目标运动并比较叠加位置。</x:v>
      </x:c>
      <x:c r="D78" s="8" t="str">
        <x:v>视频与框/标签随尺寸同步缩放，不明显漂移或裁切；切回后通道和可用叠加仍能正常选择。</x:v>
      </x:c>
      <x:c r="E78" s="8" t="str">
        <x:v>布局与全屏前后同目标画面。</x:v>
      </x:c>
      <x:c r="F78" s="15" t="str"/>
      <x:c r="G78" s="15" t="str">
        <x:v>未执行</x:v>
      </x:c>
      <x:c r="H78" s="15" t="str"/>
      <x:c r="I78" s="15" t="str"/>
    </x:row>
    <x:row r="79" ht="44" customHeight="1">
      <x:c r="A79" s="3" t="str">
        <x:v>Q28</x:v>
      </x:c>
      <x:c r="B79" s="3" t="str">
        <x:v>Q28-S05</x:v>
      </x:c>
      <x:c r="C79" s="3" t="str">
        <x:v>关闭其中一个测试窗口再重新打开，随后刷新大屏并恢复原布局。</x:v>
      </x:c>
      <x:c r="D79" s="3" t="str">
        <x:v>另一窗口持续可播；关闭的窗口会释放并可恢复，不出现永久黑屏、重复播放器或过期叠加；原布局恢复。</x:v>
      </x:c>
      <x:c r="E79" s="3" t="str">
        <x:v>关闭/恢复时序及最终画面。</x:v>
      </x:c>
      <x:c r="F79" s="15" t="str"/>
      <x:c r="G79" s="15" t="str">
        <x:v>未执行</x:v>
      </x:c>
      <x:c r="H79" s="15" t="str"/>
      <x:c r="I79" s="15" t="str"/>
    </x:row>
    <x:row r="80" ht="36" customHeight="1">
      <x:c r="A80" s="8" t="str">
        <x:v>Q18</x:v>
      </x:c>
      <x:c r="B80" s="8" t="str">
        <x:v>Q18-S01</x:v>
      </x:c>
      <x:c r="C80" s="8" t="str">
        <x:v>触发1条本轮新告警，在实时告警大屏打开该条详情。</x:v>
      </x:c>
      <x:c r="D80" s="8" t="str">
        <x:v>新告警可见且详情对应事件ID；不是历史数据假刷新。</x:v>
      </x:c>
      <x:c r="E80" s="8" t="str">
        <x:v>事件产生与大屏接收时间。</x:v>
      </x:c>
      <x:c r="F80" s="15" t="str"/>
      <x:c r="G80" s="15" t="str">
        <x:v>未执行</x:v>
      </x:c>
      <x:c r="H80" s="15" t="str"/>
      <x:c r="I80" s="15" t="str"/>
    </x:row>
    <x:row r="81" ht="44" customHeight="1">
      <x:c r="A81" s="3" t="str">
        <x:v>Q18</x:v>
      </x:c>
      <x:c r="B81" s="3" t="str">
        <x:v>Q18-S02</x:v>
      </x:c>
      <x:c r="C81" s="3" t="str">
        <x:v>查看首页资源/通道/任务计数及有数据的事件统计，刷新后与清单核对。</x:v>
      </x:c>
      <x:c r="D81" s="3" t="str">
        <x:v>对象计数及所选范围统计自洽；不将资源图短时波动作为性能验收。</x:v>
      </x:c>
      <x:c r="E81" s="3" t="str">
        <x:v>计数与对象清单对照。</x:v>
      </x:c>
      <x:c r="F81" s="15" t="str"/>
      <x:c r="G81" s="15" t="str">
        <x:v>未执行</x:v>
      </x:c>
      <x:c r="H81" s="15" t="str"/>
      <x:c r="I81" s="15" t="str"/>
    </x:row>
    <x:row r="82" ht="36" customHeight="1">
      <x:c r="A82" s="8" t="str">
        <x:v>Q19</x:v>
      </x:c>
      <x:c r="B82" s="8" t="str">
        <x:v>Q19-S01</x:v>
      </x:c>
      <x:c r="C82" s="8" t="str">
        <x:v>记录原配置，启用HTTP推送并填入测试接收地址；保存刷新。</x:v>
      </x:c>
      <x:c r="D82" s="8" t="str">
        <x:v>地址、开关等持久化；不把配置保存作为闭环通过。</x:v>
      </x:c>
      <x:c r="E82" s="8" t="str">
        <x:v>脱敏配置读回。</x:v>
      </x:c>
      <x:c r="F82" s="15" t="str"/>
      <x:c r="G82" s="15" t="str">
        <x:v>未执行</x:v>
      </x:c>
      <x:c r="H82" s="15" t="str"/>
      <x:c r="I82" s="15" t="str"/>
    </x:row>
    <x:row r="83" ht="44" customHeight="1">
      <x:c r="A83" s="3" t="str">
        <x:v>Q19</x:v>
      </x:c>
      <x:c r="B83" s="3" t="str">
        <x:v>Q19-S02</x:v>
      </x:c>
      <x:c r="C83" s="3" t="str">
        <x:v>触发一条新的测试告警，在接收端找到对应请求。</x:v>
      </x:c>
      <x:c r="D83" s="3" t="str">
        <x:v>确实收到本轮事件；设备标识、通道、场景、时间/事件ID与事件中心一致。</x:v>
      </x:c>
      <x:c r="E83" s="3" t="str">
        <x:v>接收端请求记录及事件中心记录。</x:v>
      </x:c>
      <x:c r="F83" s="15" t="str"/>
      <x:c r="G83" s="15" t="str">
        <x:v>未执行</x:v>
      </x:c>
      <x:c r="H83" s="15" t="str"/>
      <x:c r="I83" s="15" t="str"/>
    </x:row>
    <x:row r="84" ht="44" customHeight="1">
      <x:c r="A84" s="8" t="str">
        <x:v>Q19</x:v>
      </x:c>
      <x:c r="B84" s="8" t="str">
        <x:v>Q19-S03</x:v>
      </x:c>
      <x:c r="C84" s="8" t="str">
        <x:v>验证推送中的图片/媒体引用可按约定访问；关闭推送后再触发一条事件。</x:v>
      </x:c>
      <x:c r="D84" s="8" t="str">
        <x:v>本轮媒体可获取；关闭后不再新增推送；事件中心仍正常记录。</x:v>
      </x:c>
      <x:c r="E84" s="8" t="str">
        <x:v>媒体访问结果和关闭后的观测窗口。</x:v>
      </x:c>
      <x:c r="F84" s="15" t="str"/>
      <x:c r="G84" s="15" t="str">
        <x:v>未执行</x:v>
      </x:c>
      <x:c r="H84" s="15" t="str"/>
      <x:c r="I84" s="15" t="str"/>
    </x:row>
    <x:row r="85" ht="36" customHeight="1">
      <x:c r="A85" s="3" t="str">
        <x:v>Q20</x:v>
      </x:c>
      <x:c r="B85" s="3" t="str">
        <x:v>Q20-S01</x:v>
      </x:c>
      <x:c r="C85" s="3" t="str">
        <x:v>记录原配置，填写Broker、端口及必要认证，启用并保存刷新。</x:v>
      </x:c>
      <x:c r="D85" s="3" t="str">
        <x:v>配置持久化；端口未被错误截断；连接状态和Broker观测一致。</x:v>
      </x:c>
      <x:c r="E85" s="3" t="str">
        <x:v>脱敏配置、连接日志。</x:v>
      </x:c>
      <x:c r="F85" s="15" t="str"/>
      <x:c r="G85" s="15" t="str">
        <x:v>未执行</x:v>
      </x:c>
      <x:c r="H85" s="15" t="str"/>
      <x:c r="I85" s="15" t="str"/>
    </x:row>
    <x:row r="86" ht="44" customHeight="1">
      <x:c r="A86" s="8" t="str">
        <x:v>Q20</x:v>
      </x:c>
      <x:c r="B86" s="8" t="str">
        <x:v>Q20-S02</x:v>
      </x:c>
      <x:c r="C86" s="8" t="str">
        <x:v>观察注册和至少两次心跳；下发一次只读设备信息请求。</x:v>
      </x:c>
      <x:c r="D86" s="8" t="str">
        <x:v>注册/心跳设备标识正确；响应topic和requestId与该请求匹配；超出快测预算记录实际等待原因。</x:v>
      </x:c>
      <x:c r="E86" s="8" t="str">
        <x:v>注册、心跳、请求响应关联记录。</x:v>
      </x:c>
      <x:c r="F86" s="15" t="str"/>
      <x:c r="G86" s="15" t="str">
        <x:v>未执行</x:v>
      </x:c>
      <x:c r="H86" s="15" t="str"/>
      <x:c r="I86" s="15" t="str"/>
    </x:row>
    <x:row r="87" ht="36" customHeight="1">
      <x:c r="A87" s="3" t="str">
        <x:v>Q20</x:v>
      </x:c>
      <x:c r="B87" s="3" t="str">
        <x:v>Q20-S03</x:v>
      </x:c>
      <x:c r="C87" s="3" t="str">
        <x:v>触发一条新告警，从订阅端核对业务消息及媒体字段；恢复原配置。</x:v>
      </x:c>
      <x:c r="D87" s="3" t="str">
        <x:v>收到真实新告警且字段与事件中心一致；恢复配置可读回。</x:v>
      </x:c>
      <x:c r="E87" s="3" t="str">
        <x:v>业务消息、事件ID和恢复证据。</x:v>
      </x:c>
      <x:c r="F87" s="15" t="str"/>
      <x:c r="G87" s="15" t="str">
        <x:v>未执行</x:v>
      </x:c>
      <x:c r="H87" s="15" t="str"/>
      <x:c r="I87" s="15" t="str"/>
    </x:row>
    <x:row r="88" ht="36" customHeight="1">
      <x:c r="A88" s="8" t="str">
        <x:v>Q21</x:v>
      </x:c>
      <x:c r="B88" s="8" t="str">
        <x:v>Q21-S01</x:v>
      </x:c>
      <x:c r="C88" s="8" t="str">
        <x:v>核对设备信息；修改系统显示名称，保存后刷新或重进页面。</x:v>
      </x:c>
      <x:c r="D88" s="8" t="str">
        <x:v>系统信息可读；名称修改持久化并在对应界面体现。</x:v>
      </x:c>
      <x:c r="E88" s="8" t="str">
        <x:v>原值、变更值和刷新结果。</x:v>
      </x:c>
      <x:c r="F88" s="15" t="str"/>
      <x:c r="G88" s="15" t="str">
        <x:v>未执行</x:v>
      </x:c>
      <x:c r="H88" s="15" t="str"/>
      <x:c r="I88" s="15" t="str"/>
    </x:row>
    <x:row r="89" ht="44" customHeight="1">
      <x:c r="A89" s="3" t="str">
        <x:v>Q21</x:v>
      </x:c>
      <x:c r="B89" s="3" t="str">
        <x:v>Q21-S02</x:v>
      </x:c>
      <x:c r="C89" s="3" t="str">
        <x:v>选择1项截图/告警叠加设置或录像时长，修改后触发一条受该配置影响的事件。</x:v>
      </x:c>
      <x:c r="D89" s="3" t="str">
        <x:v>业务输出体现该配置；不能仅凭配置页读回判定生效。</x:v>
      </x:c>
      <x:c r="E89" s="3" t="str">
        <x:v>设置及对应媒体结果。</x:v>
      </x:c>
      <x:c r="F89" s="15" t="str"/>
      <x:c r="G89" s="15" t="str">
        <x:v>未执行</x:v>
      </x:c>
      <x:c r="H89" s="15" t="str"/>
      <x:c r="I89" s="15" t="str"/>
    </x:row>
    <x:row r="90" ht="36" customHeight="1">
      <x:c r="A90" s="8" t="str">
        <x:v>Q21</x:v>
      </x:c>
      <x:c r="B90" s="8" t="str">
        <x:v>Q21-S03</x:v>
      </x:c>
      <x:c r="C90" s="8" t="str">
        <x:v>恢复原值并刷新，再确认主要页面及测试任务可用。</x:v>
      </x:c>
      <x:c r="D90" s="8" t="str">
        <x:v>原值恢复；现有任务和页面无异常。</x:v>
      </x:c>
      <x:c r="E90" s="8" t="str">
        <x:v>恢复设置及页面状态。</x:v>
      </x:c>
      <x:c r="F90" s="15" t="str"/>
      <x:c r="G90" s="15" t="str">
        <x:v>未执行</x:v>
      </x:c>
      <x:c r="H90" s="15" t="str"/>
      <x:c r="I90" s="15" t="str"/>
    </x:row>
    <x:row r="91" ht="44" customHeight="1">
      <x:c r="A91" s="3" t="str">
        <x:v>Q22</x:v>
      </x:c>
      <x:c r="B91" s="3" t="str">
        <x:v>Q22-S01</x:v>
      </x:c>
      <x:c r="C91" s="3" t="str">
        <x:v>读取网卡、IP、网关/DNS及网络状态，与本次访问目标核对。</x:v>
      </x:c>
      <x:c r="D91" s="3" t="str">
        <x:v>显示配置与实际管理目标一致；字段可读，不把只读检查作为改网验收。</x:v>
      </x:c>
      <x:c r="E91" s="3" t="str">
        <x:v>脱敏网络状态。</x:v>
      </x:c>
      <x:c r="F91" s="15" t="str"/>
      <x:c r="G91" s="15" t="str">
        <x:v>未执行</x:v>
      </x:c>
      <x:c r="H91" s="15" t="str"/>
      <x:c r="I91" s="15" t="str"/>
    </x:row>
    <x:row r="92" ht="44" customHeight="1">
      <x:c r="A92" s="8" t="str">
        <x:v>Q22</x:v>
      </x:c>
      <x:c r="B92" s="8" t="str">
        <x:v>Q22-S02</x:v>
      </x:c>
      <x:c r="C92" s="8" t="str">
        <x:v>保持一个短视频任务产生正常日志，执行设备日志导出并打开归档。</x:v>
      </x:c>
      <x:c r="D92" s="8" t="str">
        <x:v>持续写日志时仍可完成下载；归档可读且包含本轮时间段，不能是错误文本伪装文件。</x:v>
      </x:c>
      <x:c r="E92" s="8" t="str">
        <x:v>文件大小/哈希、归档目录和本轮日志片段。</x:v>
      </x:c>
      <x:c r="F92" s="15" t="str"/>
      <x:c r="G92" s="15" t="str">
        <x:v>未执行</x:v>
      </x:c>
      <x:c r="H92" s="15" t="str"/>
      <x:c r="I92" s="15" t="str"/>
    </x:row>
    <x:row r="93" ht="36" customHeight="1">
      <x:c r="A93" s="3" t="str">
        <x:v>Q22</x:v>
      </x:c>
      <x:c r="B93" s="3" t="str">
        <x:v>Q22-S03</x:v>
      </x:c>
      <x:c r="C93" s="3" t="str">
        <x:v>导出结束后返回任务及事件页面，查询本轮对象。</x:v>
      </x:c>
      <x:c r="D93" s="3" t="str">
        <x:v>导出未使平台长时间不可用；任务/事件仍可正常读取。</x:v>
      </x:c>
      <x:c r="E93" s="3" t="str">
        <x:v>页面恢复与任务状态。</x:v>
      </x:c>
      <x:c r="F93" s="15" t="str"/>
      <x:c r="G93" s="15" t="str">
        <x:v>未执行</x:v>
      </x:c>
      <x:c r="H93" s="15" t="str"/>
      <x:c r="I93" s="15" t="str"/>
    </x:row>
    <x:row r="94" ht="44" customHeight="1">
      <x:c r="A94" s="8" t="str">
        <x:v>Q23</x:v>
      </x:c>
      <x:c r="B94" s="8" t="str">
        <x:v>Q23-S01</x:v>
      </x:c>
      <x:c r="C94" s="8" t="str">
        <x:v>在新增通道表单留空必填字段尝试保存；再输入一个无效RTSP地址提交/试连接。</x:v>
      </x:c>
      <x:c r="D94" s="8" t="str">
        <x:v>空值校验明确；无效源有失败原因，不显示旧抓拍冒充新源成功。</x:v>
      </x:c>
      <x:c r="E94" s="8" t="str">
        <x:v>字段提示、失败结果及对象列表。</x:v>
      </x:c>
      <x:c r="F94" s="15" t="str"/>
      <x:c r="G94" s="15" t="str">
        <x:v>未执行</x:v>
      </x:c>
      <x:c r="H94" s="15" t="str"/>
      <x:c r="I94" s="15" t="str"/>
    </x:row>
    <x:row r="95" ht="44" customHeight="1">
      <x:c r="A95" s="3" t="str">
        <x:v>Q23</x:v>
      </x:c>
      <x:c r="B95" s="3" t="str">
        <x:v>Q23-S02</x:v>
      </x:c>
      <x:c r="C95" s="3" t="str">
        <x:v>更正为已知可用地址再试；确认按钮恢复并可正常创建/预览。</x:v>
      </x:c>
      <x:c r="D95" s="3" t="str">
        <x:v>错误后页面可继续操作；无重复通道/永久加载态；恢复路径真实可用。</x:v>
      </x:c>
      <x:c r="E95" s="3" t="str">
        <x:v>更正与成功恢复记录。</x:v>
      </x:c>
      <x:c r="F95" s="15" t="str"/>
      <x:c r="G95" s="15" t="str">
        <x:v>未执行</x:v>
      </x:c>
      <x:c r="H95" s="15" t="str"/>
      <x:c r="I95" s="15" t="str"/>
    </x:row>
    <x:row r="96" ht="36" customHeight="1">
      <x:c r="A96" s="8" t="str">
        <x:v>Q23</x:v>
      </x:c>
      <x:c r="B96" s="8" t="str">
        <x:v>Q23-S03</x:v>
      </x:c>
      <x:c r="C96" s="8" t="str">
        <x:v>本例产生的临时通道立即删除；检查主要页面无遗留错误状态。</x:v>
      </x:c>
      <x:c r="D96" s="8" t="str">
        <x:v>错误输入未污染已运行通道；清理完成。</x:v>
      </x:c>
      <x:c r="E96" s="8" t="str">
        <x:v>清理后对象清单。</x:v>
      </x:c>
      <x:c r="F96" s="15" t="str"/>
      <x:c r="G96" s="15" t="str">
        <x:v>未执行</x:v>
      </x:c>
      <x:c r="H96" s="15" t="str"/>
      <x:c r="I96" s="15" t="str"/>
    </x:row>
    <x:row r="97" ht="44" customHeight="1">
      <x:c r="A97" s="3" t="str">
        <x:v>Q24</x:v>
      </x:c>
      <x:c r="B97" s="3" t="str">
        <x:v>Q24-S01</x:v>
      </x:c>
      <x:c r="C97" s="3" t="str">
        <x:v>按任务、通道、场景、样本/底库、模型的依赖顺序删除本轮对象；恢复系统及对接配置。</x:v>
      </x:c>
      <x:c r="D97" s="3" t="str">
        <x:v>可删除对象按预期删除；原有对象不受影响；回填Q03/Q11/Q13等延后删除的结果。</x:v>
      </x:c>
      <x:c r="E97" s="3" t="str">
        <x:v>清理明细及前后数量差异。</x:v>
      </x:c>
      <x:c r="F97" s="15" t="str"/>
      <x:c r="G97" s="15" t="str">
        <x:v>未执行</x:v>
      </x:c>
      <x:c r="H97" s="15" t="str"/>
      <x:c r="I97" s="15" t="str"/>
    </x:row>
    <x:row r="98" ht="36" customHeight="1">
      <x:c r="A98" s="8" t="str">
        <x:v>Q24</x:v>
      </x:c>
      <x:c r="B98" s="8" t="str">
        <x:v>Q24-S02</x:v>
      </x:c>
      <x:c r="C98" s="8" t="str">
        <x:v>检查至少1路原有/约定保留业务仍可用，退出登录并刷新受保护页面。</x:v>
      </x:c>
      <x:c r="D98" s="8" t="str">
        <x:v>约定业务恢复；退出后不能直接读取受保护业务，重新登录仍正常。</x:v>
      </x:c>
      <x:c r="E98" s="8" t="str">
        <x:v>恢复、退出及访问结果。</x:v>
      </x:c>
      <x:c r="F98" s="15" t="str"/>
      <x:c r="G98" s="15" t="str">
        <x:v>未执行</x:v>
      </x:c>
      <x:c r="H98" s="15" t="str"/>
      <x:c r="I98" s="15" t="str"/>
    </x:row>
    <x:row r="99" ht="61" customHeight="1">
      <x:c r="A99" s="3" t="str">
        <x:v>Q24</x:v>
      </x:c>
      <x:c r="B99" s="3" t="str">
        <x:v>Q24-S03</x:v>
      </x:c>
      <x:c r="C99" s="3" t="str">
        <x:v>汇总28条及所有步骤结果，对失败/阻塞/部分完成写具体步骤、原因、证据和下一步。</x:v>
      </x:c>
      <x:c r="D99" s="3" t="str">
        <x:v>无未执行冒充通过；USB、视觉语言与视觉检测大模型、大屏预览叠加均为必测项；缺设备或模型时逐项记录阻塞原因；快速版结果不覆盖全量主用例状态。</x:v>
      </x:c>
      <x:c r="E99" s="3" t="str">
        <x:v>逐条报告和待处理问题清单。</x:v>
      </x:c>
      <x:c r="F99" s="15" t="str"/>
      <x:c r="G99" s="15" t="str">
        <x:v>未执行</x:v>
      </x:c>
      <x:c r="H99" s="15" t="str"/>
      <x:c r="I99" s="15" t="str"/>
    </x:row>
  </x:sheetData>
  <x:dataValidations count="1">
    <x:dataValidation type="list" sqref="G5:G99">
      <x:formula1>"未执行,通过,失败,阻塞,部分完成,不适用"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b7724b3fd145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48" hidden="0" customWidth="1"/>
    <x:col min="4" max="4" width="12" hidden="0" customWidth="1"/>
    <x:col min="5" max="5" width="12" hidden="0" customWidth="1"/>
    <x:col min="6" max="6" width="75" hidden="0" customWidth="1"/>
    <x:col min="7" max="7" width="65" hidden="0" customWidth="1"/>
    <x:col min="8" max="8" width="40" hidden="0" customWidth="1"/>
    <x:col min="9" max="9" width="6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11" t="str">
        <x:v>按需补测，不计入日常快测预算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7" t="str">
        <x:v>编号</x:v>
      </x:c>
      <x:c r="B4" s="7" t="str">
        <x:v>补测项目</x:v>
      </x:c>
      <x:c r="C4" s="7" t="str">
        <x:v>何时触发</x:v>
      </x:c>
      <x:c r="D4" s="7" t="str">
        <x:v>下限
分钟</x:v>
      </x:c>
      <x:c r="E4" s="7" t="str">
        <x:v>上限
分钟</x:v>
      </x:c>
      <x:c r="F4" s="7" t="str">
        <x:v>操作摘要</x:v>
      </x:c>
      <x:c r="G4" s="7" t="str">
        <x:v>通过条件</x:v>
      </x:c>
      <x:c r="H4" s="7" t="str">
        <x:v>来源用例</x:v>
      </x:c>
      <x:c r="I4" s="7" t="str">
        <x:v>范围说明</x:v>
      </x:c>
    </x:row>
    <x:row r="5" ht="44" customHeight="1">
      <x:c r="A5" s="3" t="str">
        <x:v>X01</x:v>
      </x:c>
      <x:c r="B5" s="3" t="str">
        <x:v>重启后配置与业务恢复</x:v>
      </x:c>
      <x:c r="C5" s="3" t="str">
        <x:v>启动流程、持久化、服务生命周期有改动；建议发布前必测</x:v>
      </x:c>
      <x:c r="D5" s="3" t="n">
        <x:v>10</x:v>
      </x:c>
      <x:c r="E5" s="3" t="n">
        <x:v>20</x:v>
      </x:c>
      <x:c r="F5" s="3" t="str">
        <x:v>保存测试任务/场景/底库基线；通过平台重启；等待恢复后登录；复查配置、取流、推理和一条事件。</x:v>
      </x:c>
      <x:c r="G5" s="3" t="str">
        <x:v>配置完整且业务恢复；实际恢复时长有记录；不与恢复出厂混为一项。</x:v>
      </x:c>
      <x:c r="H5" s="3" t="str">
        <x:v>TASK-015;UPG-013;FACE-013</x:v>
      </x:c>
      <x:c r="I5" s="3" t="str">
        <x:v>需要可恢复设备；作为发布前补测，是否每轮执行待评审。</x:v>
      </x:c>
    </x:row>
    <x:row r="6" ht="44" customHeight="1">
      <x:c r="A6" s="8" t="str">
        <x:v>X02</x:v>
      </x:c>
      <x:c r="B6" s="8" t="str">
        <x:v>升级与回退</x:v>
      </x:c>
      <x:c r="C6" s="8" t="str">
        <x:v>安装包、升级脚本、数据库迁移或版本发布发生变化</x:v>
      </x:c>
      <x:c r="D6" s="8" t="n">
        <x:v>30</x:v>
      </x:c>
      <x:c r="E6" s="8" t="n">
        <x:v>60</x:v>
      </x:c>
      <x:c r="F6" s="8" t="str">
        <x:v>备份；上传目标升级包；确认版本变更；跑受影响快测；按恢复方案回退并再核对。</x:v>
      </x:c>
      <x:c r="G6" s="8" t="str">
        <x:v>前后版本可证明；核心配置保留；升级/回退后关键业务可用。</x:v>
      </x:c>
      <x:c r="H6" s="8" t="str">
        <x:v>UPG-001;UPG-009;UPG-011</x:v>
      </x:c>
      <x:c r="I6" s="8" t="str">
        <x:v>额外耗时不含重复快测；恢复出厂/断电不归入快测。</x:v>
      </x:c>
    </x:row>
    <x:row r="7" ht="44" customHeight="1">
      <x:c r="A7" s="3" t="str">
        <x:v>X03</x:v>
      </x:c>
      <x:c r="B7" s="3" t="str">
        <x:v>其他扩展算法</x:v>
      </x:c>
      <x:c r="C7" s="3" t="str">
        <x:v>SAM分割、OCR、分类等相关代码或模型改动，且模型齐备</x:v>
      </x:c>
      <x:c r="D7" s="3" t="n">
        <x:v>10</x:v>
      </x:c>
      <x:c r="E7" s="3" t="n">
        <x:v>30</x:v>
      </x:c>
      <x:c r="F7" s="3" t="str">
        <x:v>每个变更算法族各选1个有效样本及对应场景，执行加载、输入、推理和结果展示。</x:v>
      </x:c>
      <x:c r="G7" s="3" t="str">
        <x:v>得到该算法应有的输出；无模型时按已确认范围排除，不拿基础检测结果代替。</x:v>
      </x:c>
      <x:c r="H7" s="3" t="str">
        <x:v>ALG-15760;ALG-21283;ALG-77380</x:v>
      </x:c>
      <x:c r="I7" s="3" t="str">
        <x:v>VLM 与 DINO 已列核心 Q26/Q27；本项预算按另一个算法族累加。</x:v>
      </x:c>
    </x:row>
    <x:row r="8" ht="44" customHeight="1">
      <x:c r="A8" s="8" t="str">
        <x:v>X04</x:v>
      </x:c>
      <x:c r="B8" s="8" t="str">
        <x:v>跨厂商、码流及断流恢复</x:v>
      </x:c>
      <x:c r="C8" s="8" t="str">
        <x:v>接入、解码、国标或ONVIF模块改动</x:v>
      </x:c>
      <x:c r="D8" s="8" t="n">
        <x:v>10</x:v>
      </x:c>
      <x:c r="E8" s="8" t="n">
        <x:v>20</x:v>
      </x:c>
      <x:c r="F8" s="8" t="str">
        <x:v>增加另一厂商/编码组合；对一个测试源做可控短时断流并恢复；核对任务恢复和新结果。</x:v>
      </x:c>
      <x:c r="G8" s="8" t="str">
        <x:v>新增组合能解码推理；断流恢复后出现新画面/新结果，没有旧图假成功。</x:v>
      </x:c>
      <x:c r="H8" s="8" t="str">
        <x:v>CAM-007;CAM-008;GB-009;ONVIF-011</x:v>
      </x:c>
      <x:c r="I8" s="8" t="str">
        <x:v>预算按一组；USB 基本接入在 Q25，拔插恢复可在现场条件允许时补测；音柱仍排除。</x:v>
      </x:c>
    </x:row>
    <x:row r="9" ht="36" customHeight="1">
      <x:c r="A9" s="3" t="str">
        <x:v>X05</x:v>
      </x:c>
      <x:c r="B9" s="3" t="str">
        <x:v>场景包导入导出与复杂编排</x:v>
      </x:c>
      <x:c r="C9" s="3" t="str">
        <x:v>模板、图编排、模型组件或场景兼容逻辑改动</x:v>
      </x:c>
      <x:c r="D9" s="3" t="n">
        <x:v>10</x:v>
      </x:c>
      <x:c r="E9" s="3" t="n">
        <x:v>20</x:v>
      </x:c>
      <x:c r="F9" s="3" t="str">
        <x:v>导出1个测试场景包；隔离导入；核对节点/参数/模型引用；运行固定输入；清理。</x:v>
      </x:c>
      <x:c r="G9" s="3" t="str">
        <x:v>导出可读且导入可执行；身份冲突有明确处理；不覆盖在用场景。</x:v>
      </x:c>
      <x:c r="H9" s="3" t="str">
        <x:v>SCENE-004;SCENE-005;FLOW-005;FLOW-012</x:v>
      </x:c>
      <x:c r="I9" s="3" t="str">
        <x:v>复杂分支和组件矩阵留在全量库。</x:v>
      </x:c>
    </x:row>
    <x:row r="10" ht="36" customHeight="1">
      <x:c r="A10" s="8" t="str">
        <x:v>X06</x:v>
      </x:c>
      <x:c r="B10" s="8" t="str">
        <x:v>时间同步及网络配置修改</x:v>
      </x:c>
      <x:c r="C10" s="8" t="str">
        <x:v>NTP、网络配置或相关校验逻辑改动</x:v>
      </x:c>
      <x:c r="D10" s="8" t="n">
        <x:v>10</x:v>
      </x:c>
      <x:c r="E10" s="8" t="n">
        <x:v>20</x:v>
      </x:c>
      <x:c r="F10" s="8" t="str">
        <x:v>具备独立恢复条件后，选择一个受影响设置改值、读回并实际验证，最后恢复。</x:v>
      </x:c>
      <x:c r="G10" s="8" t="str">
        <x:v>网络或时间配置真实生效且恢复；不能以只读状态代替写入验收。</x:v>
      </x:c>
      <x:c r="H10" s="8" t="str">
        <x:v>SYS-002;NET-002;NET-003;NET-005</x:v>
      </x:c>
      <x:c r="I10" s="8" t="str">
        <x:v>仅有可行恢复方式时执行；管理IP/DHCP不纳入日常快测。</x:v>
      </x:c>
    </x:row>
  </x:sheetData>
  <x:pageMargins left="0.7" right="0.7" top="0.75" bottom="0.75" header="0.3" footer="0.3"/>
  <x:tableParts count="1">
    <x:tablePart xmlns:r="http://schemas.openxmlformats.org/officeDocument/2006/relationships" r:id="R3a34ebdf0ecb49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12" hidden="0" customWidth="1"/>
    <x:col min="3" max="3" width="42" hidden="0" customWidth="1"/>
  </x:cols>
  <x:sheetData>
    <x:row r="1">
      <x:c r="A1" s="3"/>
      <x:c r="B1" s="3"/>
      <x:c r="C1" s="3"/>
    </x:row>
    <x:row r="2" ht="28" customHeight="1">
      <x:c r="A2" s="11" t="str">
        <x:v>执行范围、资源取样及评审决策</x:v>
      </x:c>
      <x:c r="B2" s="12"/>
      <x:c r="C2" s="12"/>
    </x:row>
    <x:row r="3">
      <x:c r="A3" s="3"/>
      <x:c r="B3" s="3"/>
      <x:c r="C3" s="3"/>
    </x:row>
    <x:row r="4" ht="34" customHeight="1">
      <x:c r="A4" s="7" t="str">
        <x:v>主题</x:v>
      </x:c>
      <x:c r="B4" s="7" t="str">
        <x:v>范围与执行约定</x:v>
      </x:c>
      <x:c r="C4" s="7" t="str">
        <x:v>评审意见</x:v>
      </x:c>
    </x:row>
    <x:row r="5" ht="44" customHeight="1">
      <x:c r="A5" s="3" t="str">
        <x:v>耗时口径</x:v>
      </x:c>
      <x:c r="B5" s="3" t="str">
        <x:v>141–232分钟为初始估算，约2小时21分至3小时52分；尚未用此版计时实跑。模型导入与首次初始化、首次配置、部署服务、完整包校验、下载、重试和排障另计。</x:v>
      </x:c>
      <x:c r="C5" s="15" t="str"/>
    </x:row>
    <x:row r="6" ht="36" customHeight="1">
      <x:c r="A6" s="8" t="str">
        <x:v>提速方式</x:v>
      </x:c>
      <x:c r="B6" s="8" t="str">
        <x:v>复用短视频、场景、底库和事件；按接入方式逐路串行；控制素材和模型大小；不再展开327条全量用例及其参数/接口矩阵。</x:v>
      </x:c>
      <x:c r="C6" s="15" t="str"/>
    </x:row>
    <x:row r="7" ht="36" customHeight="1">
      <x:c r="A7" s="3" t="str">
        <x:v>等待预算</x:v>
      </x:c>
      <x:c r="B7" s="3" t="str">
        <x:v>每路推理先观察30–60秒；无业务输出先记录定位证据，单项连续同因失败重试不超过2次。超预算写清原因，不自动通过。</x:v>
      </x:c>
      <x:c r="C7" s="15" t="str"/>
    </x:row>
    <x:row r="8" ht="44" customHeight="1">
      <x:c r="A8" s="8" t="str">
        <x:v>执行顺序</x:v>
      </x:c>
      <x:c r="B8" s="8" t="str">
        <x:v>Q01准备；Q02–Q03资源管理；Q04–Q08和Q25输入；Q09–Q10任务；Q11–Q16识别与图片；Q26–Q27大模型；Q17/Q28/Q18事件与大屏；Q19–Q20推送；Q21–Q24系统及收尾。</x:v>
      </x:c>
      <x:c r="C8" s="15" t="str"/>
    </x:row>
    <x:row r="9" ht="36" customHeight="1">
      <x:c r="A9" s="3" t="str">
        <x:v>依赖隔离</x:v>
      </x:c>
      <x:c r="B9" s="3" t="str">
        <x:v>Q03/Q11/Q13对象可复用，但有替代测试对象时不因前序失败跳过独立功能；没有条件只阻塞相应子步骤。</x:v>
      </x:c>
      <x:c r="C9" s="15" t="str"/>
    </x:row>
    <x:row r="10" ht="36" customHeight="1">
      <x:c r="A10" s="8" t="str">
        <x:v>通过规则</x:v>
      </x:c>
      <x:c r="B10" s="8" t="str">
        <x:v>每个适用步骤均有实测结果和证据，清理已核对，整条才能通过。未执行、缺资源和部分完成不能计作通过。</x:v>
      </x:c>
      <x:c r="C10" s="15" t="str"/>
    </x:row>
    <x:row r="11" ht="36" customHeight="1">
      <x:c r="A11" s="3" t="str">
        <x:v>结果粒度</x:v>
      </x:c>
      <x:c r="B11" s="3" t="str">
        <x:v>步骤表记录实际结果、状态、原因和证据；主要用例汇总人工核对后填写。延期清理的用例必须等待Q24回填。</x:v>
      </x:c>
      <x:c r="C11" s="15" t="str"/>
    </x:row>
    <x:row r="12" ht="44" customHeight="1">
      <x:c r="A12" s="8" t="str">
        <x:v>精度边界</x:v>
      </x:c>
      <x:c r="B12" s="8" t="str">
        <x:v>VLM 与 DINO 用人工可见的正负固定样本判定基本功能，不宣称精度达标；USB、VLM、DINO 已纳入必测，缺可运行模型记阻塞。其他无模型场景、音柱和授权验收仍排除。</x:v>
      </x:c>
      <x:c r="C12" s="15" t="str"/>
    </x:row>
    <x:row r="13" ht="36" customHeight="1">
      <x:c r="A13" s="3" t="str">
        <x:v>未覆盖范围</x:v>
      </x:c>
      <x:c r="B13" s="3" t="str">
        <x:v>不包括全部算法/厂商/编码/参数/接口、长时稳定性、容量上限、权限全矩阵、断电、恢复出厂及全部升级异常。</x:v>
      </x:c>
      <x:c r="C13" s="15" t="str"/>
    </x:row>
    <x:row r="14" ht="36" customHeight="1">
      <x:c r="A14" s="8" t="str">
        <x:v>与全量库关系</x:v>
      </x:c>
      <x:c r="B14" s="8" t="str">
        <x:v>全量库版本1.4.0；“主要用例”按编号保留来源映射，覆盖范围经过裁剪，不能把快速通过回填为原全量用例通过。</x:v>
      </x:c>
      <x:c r="C14" s="15" t="str"/>
    </x:row>
    <x:row r="15" ht="36" customHeight="1">
      <x:c r="A15" s="3" t="str">
        <x:v>实施状态</x:v>
      </x:c>
      <x:c r="B15" s="3" t="str">
        <x:v>此文件是独立评审稿，尚未接入customer_journey.py执行队列。评审确认后实现quick模式，仍复用资源包和逐步记录机制。</x:v>
      </x:c>
      <x:c r="C15" s="15" t="str"/>
    </x:row>
    <x:row r="16" ht="36" customHeight="1">
      <x:c r="A16" s="8" t="str">
        <x:v>评审决策1</x:v>
      </x:c>
      <x:c r="B16" s="8" t="str">
        <x:v>默认采用28条/约2小时21分至3小时52分是否合适？更短预算应明确减少范围，不能隐去协议或模块。</x:v>
      </x:c>
      <x:c r="C16" s="15" t="str"/>
    </x:row>
    <x:row r="17" ht="36" customHeight="1">
      <x:c r="A17" s="3" t="str">
        <x:v>评审决策2</x:v>
      </x:c>
      <x:c r="B17" s="3" t="str">
        <x:v>X01重启恢复是否每次必测？建议日常按改动触发、发布前必测。</x:v>
      </x:c>
      <x:c r="C17" s="15" t="str"/>
    </x:row>
    <x:row r="18" ht="36" customHeight="1">
      <x:c r="A18" s="8" t="str">
        <x:v>评审决策3</x:v>
      </x:c>
      <x:c r="B18" s="8" t="str">
        <x:v>VLM 与 DINO 已纳入每次必测；SAM、OCR、分类等其他算法建议相关改动时才追加 X03。</x:v>
      </x:c>
      <x:c r="C18" s="15" t="str"/>
    </x:row>
    <x:row r="19" ht="36" customHeight="1">
      <x:c r="A19" s="3" t="str">
        <x:v>资源包</x:v>
      </x:c>
      <x:c r="B19" s="3" t="str">
        <x:v>复用已配置私有根目录；本表只使用资源ID，不存储设备密码或机器绝对路径。</x:v>
      </x:c>
      <x:c r="C19" s="15" t="str"/>
    </x:row>
    <x:row r="20" ht="44" customHeight="1">
      <x:c r="A20" s="8" t="str">
        <x:v>视频输入</x:v>
      </x:c>
      <x:c r="B20" s="8" t="str">
        <x:v>CAM-HK-A / CAM-DH：各协议选已就绪设备；NVR-A：国标2路及RTSP1路；FACE-VIDEO / PEOPLE-MEDIA：短片段；USB-CAMERA：插在被测盒子的摄像头，开测前核实识别。</x:v>
      </x:c>
      <x:c r="C20" s="15" t="str"/>
    </x:row>
    <x:row r="21" ht="44" customHeight="1">
      <x:c r="A21" s="3" t="str">
        <x:v>USB资源</x:v>
      </x:c>
      <x:c r="B21" s="3" t="str">
        <x:v>USB-CAMERA 为外接硬件，不需要复制进素材包；资源配置已取消旧排除，预检提示待核实，正式开测以盒子端枚举和画面为准。</x:v>
      </x:c>
      <x:c r="C21" s="15" t="str"/>
    </x:row>
    <x:row r="22" ht="36" customHeight="1">
      <x:c r="A22" s="8" t="str">
        <x:v>模型与底库</x:v>
      </x:c>
      <x:c r="B22" s="8" t="str">
        <x:v>MODEL-PACKAGES：1个未安装的小模型；FACE-ZIP抽3–5张；UNIFORM-IMAGE取1张；IMAGE-MEDIA另选 VLM/DINO 正负图。</x:v>
      </x:c>
      <x:c r="C22" s="15" t="str"/>
    </x:row>
    <x:row r="23" ht="44" customHeight="1">
      <x:c r="A23" s="3" t="str">
        <x:v>大模型资源</x:v>
      </x:c>
      <x:c r="B23" s="3" t="str">
        <x:v>VLM-MODEL 与 DINO-MODEL 分别预检。现有 BM1688 GroundingDINO 包是候选；Qwen 原始 bmodel/配置尚不能证明可导入。开测前记录模型包、词表/分词器、设备加载状态、正负样本哈希及提示词；缺项只阻塞 Q26/Q27 对应项。</x:v>
      </x:c>
      <x:c r="C23" s="15" t="str"/>
    </x:row>
    <x:row r="24" ht="36" customHeight="1">
      <x:c r="A24" s="8" t="str">
        <x:v>HTTP/MQTT</x:v>
      </x:c>
      <x:c r="B24" s="8" t="str">
        <x:v>沿用HTTP-RECEIVER / MQTT-BROKER及授权；预检不可达时先记录服务缺口，不把产品判失败。</x:v>
      </x:c>
      <x:c r="C24" s="15" t="str"/>
    </x:row>
    <x:row r="25" ht="36" customHeight="1">
      <x:c r="A25" s="3" t="str">
        <x:v>本轮证据</x:v>
      </x:c>
      <x:c r="B25" s="3" t="str">
        <x:v>输入哈希、目标版本、对象ID、操作前后状态、业务结果/事件ID、接收端记录、清理清单。</x:v>
      </x:c>
      <x:c r="C25" s="15" t="str"/>
    </x:row>
    <x:row r="26" ht="44" customHeight="1">
      <x:c r="A26" s="8" t="str">
        <x:v>资料来源</x:v>
      </x:c>
      <x:c r="B26" s="8" t="str">
        <x:v>仓库test/customer-journey/CosmoEdge-客户旅程测试用例.xlsx（1.4.0）及其suite.json；用户本次范围和此前明确排除项。</x:v>
      </x:c>
      <x:c r="C26" s="15" t="str"/>
    </x:row>
  </x:sheetData>
  <x:pageMargins left="0.7" right="0.7" top="0.75" bottom="0.75" header="0.3" footer="0.3"/>
  <x:tableParts count="1">
    <x:tablePart xmlns:r="http://schemas.openxmlformats.org/officeDocument/2006/relationships" r:id="R31a6607c72a14748"/>
  </x:tableParts>
</x:worksheet>
</file>